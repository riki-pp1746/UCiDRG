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ser\Downloads\UNIT COST RS\1. Template Costing\"/>
    </mc:Choice>
  </mc:AlternateContent>
  <xr:revisionPtr revIDLastSave="0" documentId="13_ncr:1_{A6D53355-78B9-421C-A245-3EBFC1A4A1D4}" xr6:coauthVersionLast="47" xr6:coauthVersionMax="47" xr10:uidLastSave="{00000000-0000-0000-0000-000000000000}"/>
  <bookViews>
    <workbookView xWindow="-108" yWindow="-108" windowWidth="22536" windowHeight="13176" tabRatio="500" activeTab="5" xr2:uid="{00000000-000D-0000-FFFF-FFFF00000000}"/>
  </bookViews>
  <sheets>
    <sheet name="Panduan Pengisian" sheetId="1" r:id="rId1"/>
    <sheet name="Data Dasar RS" sheetId="2" r:id="rId2"/>
    <sheet name="Data Operasional" sheetId="3" r:id="rId3"/>
    <sheet name="Data LO Lapkeu" sheetId="4" r:id="rId4"/>
    <sheet name="Costing Template" sheetId="5" r:id="rId5"/>
    <sheet name="Rumus Perhitungan"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278" i="6" l="1"/>
  <c r="F278" i="6" s="1"/>
  <c r="F277" i="6"/>
  <c r="D277" i="6"/>
  <c r="D276" i="6"/>
  <c r="F276" i="6" s="1"/>
  <c r="F275" i="6"/>
  <c r="D275" i="6"/>
  <c r="D274" i="6"/>
  <c r="F274" i="6" s="1"/>
  <c r="E270" i="6"/>
  <c r="B270" i="6"/>
  <c r="F267" i="6"/>
  <c r="C267" i="6"/>
  <c r="G267" i="6" s="1"/>
  <c r="L267" i="6" s="1"/>
  <c r="B267" i="6"/>
  <c r="F266" i="6"/>
  <c r="G266" i="6" s="1"/>
  <c r="L266" i="6" s="1"/>
  <c r="C266" i="6"/>
  <c r="B266" i="6"/>
  <c r="F265" i="6"/>
  <c r="C265" i="6"/>
  <c r="G265" i="6" s="1"/>
  <c r="L265" i="6" s="1"/>
  <c r="B265" i="6"/>
  <c r="F264" i="6"/>
  <c r="G264" i="6" s="1"/>
  <c r="L264" i="6" s="1"/>
  <c r="C264" i="6"/>
  <c r="B264" i="6"/>
  <c r="F263" i="6"/>
  <c r="G263" i="6" s="1"/>
  <c r="L263" i="6" s="1"/>
  <c r="C263" i="6"/>
  <c r="B263" i="6"/>
  <c r="C258" i="6"/>
  <c r="B258" i="6"/>
  <c r="C257" i="6"/>
  <c r="B257" i="6"/>
  <c r="C256" i="6"/>
  <c r="B256" i="6"/>
  <c r="C255" i="6"/>
  <c r="B255" i="6"/>
  <c r="C254" i="6"/>
  <c r="B254" i="6"/>
  <c r="C253" i="6"/>
  <c r="B253" i="6"/>
  <c r="C252" i="6"/>
  <c r="B252" i="6"/>
  <c r="C251" i="6"/>
  <c r="B251" i="6"/>
  <c r="C250" i="6"/>
  <c r="B250" i="6"/>
  <c r="C249" i="6"/>
  <c r="B249" i="6"/>
  <c r="C248" i="6"/>
  <c r="B248" i="6"/>
  <c r="C247" i="6"/>
  <c r="B247" i="6"/>
  <c r="C246" i="6"/>
  <c r="B246" i="6"/>
  <c r="C245" i="6"/>
  <c r="B245" i="6"/>
  <c r="C244" i="6"/>
  <c r="B244" i="6"/>
  <c r="C243" i="6"/>
  <c r="B243" i="6"/>
  <c r="C242" i="6"/>
  <c r="B242" i="6"/>
  <c r="C241" i="6"/>
  <c r="B241" i="6"/>
  <c r="C240" i="6"/>
  <c r="B240" i="6"/>
  <c r="C239" i="6"/>
  <c r="B239" i="6"/>
  <c r="C238" i="6"/>
  <c r="B238" i="6"/>
  <c r="C237" i="6"/>
  <c r="B237" i="6"/>
  <c r="C236" i="6"/>
  <c r="B236" i="6"/>
  <c r="C235" i="6"/>
  <c r="B235" i="6"/>
  <c r="C234" i="6"/>
  <c r="B234" i="6"/>
  <c r="C233" i="6"/>
  <c r="B233" i="6"/>
  <c r="C232" i="6"/>
  <c r="B232" i="6"/>
  <c r="C231" i="6"/>
  <c r="B231" i="6"/>
  <c r="C230" i="6"/>
  <c r="B230" i="6"/>
  <c r="C229" i="6"/>
  <c r="B229" i="6"/>
  <c r="G217" i="6"/>
  <c r="K214" i="6"/>
  <c r="C213" i="6"/>
  <c r="B213" i="6"/>
  <c r="K211" i="6"/>
  <c r="H210" i="6"/>
  <c r="G210" i="6"/>
  <c r="B210" i="6"/>
  <c r="G208" i="6"/>
  <c r="B207" i="6"/>
  <c r="H206" i="6"/>
  <c r="G206" i="6"/>
  <c r="H205" i="6"/>
  <c r="G205" i="6"/>
  <c r="G204" i="6"/>
  <c r="L202" i="6"/>
  <c r="K202" i="6"/>
  <c r="C202" i="6"/>
  <c r="K201" i="6"/>
  <c r="C201" i="6"/>
  <c r="K200" i="6"/>
  <c r="C200" i="6"/>
  <c r="B200" i="6"/>
  <c r="H199" i="6"/>
  <c r="B199" i="6"/>
  <c r="H198" i="6"/>
  <c r="G198" i="6"/>
  <c r="H197" i="6"/>
  <c r="G197" i="6"/>
  <c r="F197" i="6"/>
  <c r="G196" i="6"/>
  <c r="L194" i="6"/>
  <c r="K194" i="6"/>
  <c r="G194" i="6"/>
  <c r="C194" i="6"/>
  <c r="J193" i="6"/>
  <c r="I193" i="6"/>
  <c r="H193" i="6"/>
  <c r="N189" i="6"/>
  <c r="M189" i="6"/>
  <c r="M204" i="6" s="1"/>
  <c r="L189" i="6"/>
  <c r="L207" i="6" s="1"/>
  <c r="K189" i="6"/>
  <c r="K204" i="6" s="1"/>
  <c r="H189" i="6"/>
  <c r="H219" i="6" s="1"/>
  <c r="G189" i="6"/>
  <c r="F189" i="6"/>
  <c r="F214" i="6" s="1"/>
  <c r="E189" i="6"/>
  <c r="D189" i="6"/>
  <c r="C189" i="6"/>
  <c r="C214" i="6" s="1"/>
  <c r="J188" i="6"/>
  <c r="I188" i="6"/>
  <c r="B188" i="6"/>
  <c r="B223" i="6" s="1"/>
  <c r="J187" i="6"/>
  <c r="I187" i="6"/>
  <c r="B187" i="6"/>
  <c r="B222" i="6" s="1"/>
  <c r="J186" i="6"/>
  <c r="I186" i="6"/>
  <c r="B186" i="6"/>
  <c r="B221" i="6" s="1"/>
  <c r="J185" i="6"/>
  <c r="I185" i="6"/>
  <c r="B185" i="6"/>
  <c r="B220" i="6" s="1"/>
  <c r="J184" i="6"/>
  <c r="I184" i="6"/>
  <c r="B184" i="6"/>
  <c r="B219" i="6" s="1"/>
  <c r="J183" i="6"/>
  <c r="I183" i="6"/>
  <c r="B183" i="6"/>
  <c r="B218" i="6" s="1"/>
  <c r="J182" i="6"/>
  <c r="I182" i="6"/>
  <c r="B182" i="6"/>
  <c r="B217" i="6" s="1"/>
  <c r="J181" i="6"/>
  <c r="I181" i="6"/>
  <c r="B181" i="6"/>
  <c r="B216" i="6" s="1"/>
  <c r="J180" i="6"/>
  <c r="I180" i="6"/>
  <c r="B180" i="6"/>
  <c r="B215" i="6" s="1"/>
  <c r="J179" i="6"/>
  <c r="I179" i="6"/>
  <c r="B179" i="6"/>
  <c r="B214" i="6" s="1"/>
  <c r="J178" i="6"/>
  <c r="I178" i="6"/>
  <c r="B178" i="6"/>
  <c r="J177" i="6"/>
  <c r="I177" i="6"/>
  <c r="B177" i="6"/>
  <c r="B212" i="6" s="1"/>
  <c r="J176" i="6"/>
  <c r="I176" i="6"/>
  <c r="B176" i="6"/>
  <c r="B211" i="6" s="1"/>
  <c r="J175" i="6"/>
  <c r="I175" i="6"/>
  <c r="B175" i="6"/>
  <c r="J174" i="6"/>
  <c r="I174" i="6"/>
  <c r="B174" i="6"/>
  <c r="B209" i="6" s="1"/>
  <c r="J173" i="6"/>
  <c r="I173" i="6"/>
  <c r="B173" i="6"/>
  <c r="B208" i="6" s="1"/>
  <c r="J172" i="6"/>
  <c r="I172" i="6"/>
  <c r="B172" i="6"/>
  <c r="J171" i="6"/>
  <c r="I171" i="6"/>
  <c r="B171" i="6"/>
  <c r="B206" i="6" s="1"/>
  <c r="J170" i="6"/>
  <c r="I170" i="6"/>
  <c r="B170" i="6"/>
  <c r="B205" i="6" s="1"/>
  <c r="J169" i="6"/>
  <c r="I169" i="6"/>
  <c r="B169" i="6"/>
  <c r="B204" i="6" s="1"/>
  <c r="J168" i="6"/>
  <c r="I168" i="6"/>
  <c r="B168" i="6"/>
  <c r="B203" i="6" s="1"/>
  <c r="J167" i="6"/>
  <c r="I167" i="6"/>
  <c r="B167" i="6"/>
  <c r="B202" i="6" s="1"/>
  <c r="J166" i="6"/>
  <c r="I166" i="6"/>
  <c r="B166" i="6"/>
  <c r="B201" i="6" s="1"/>
  <c r="J165" i="6"/>
  <c r="I165" i="6"/>
  <c r="B165" i="6"/>
  <c r="J164" i="6"/>
  <c r="I164" i="6"/>
  <c r="B164" i="6"/>
  <c r="B163" i="6"/>
  <c r="B198" i="6" s="1"/>
  <c r="B162" i="6"/>
  <c r="B197" i="6" s="1"/>
  <c r="B161" i="6"/>
  <c r="B196" i="6" s="1"/>
  <c r="B160" i="6"/>
  <c r="B195" i="6" s="1"/>
  <c r="B159" i="6"/>
  <c r="B194" i="6" s="1"/>
  <c r="N157" i="6"/>
  <c r="M157" i="6"/>
  <c r="L157" i="6"/>
  <c r="K157" i="6"/>
  <c r="J157" i="6"/>
  <c r="I157" i="6"/>
  <c r="H157" i="6"/>
  <c r="G157" i="6"/>
  <c r="F157" i="6"/>
  <c r="E157" i="6"/>
  <c r="D157" i="6"/>
  <c r="C157" i="6"/>
  <c r="L156" i="6"/>
  <c r="K156" i="6"/>
  <c r="J156" i="6"/>
  <c r="D156" i="6"/>
  <c r="C156" i="6"/>
  <c r="J151" i="6"/>
  <c r="G151" i="6"/>
  <c r="B151" i="6"/>
  <c r="N193" i="6" s="1"/>
  <c r="J150" i="6"/>
  <c r="G150" i="6"/>
  <c r="B150" i="6"/>
  <c r="M193" i="6" s="1"/>
  <c r="J149" i="6"/>
  <c r="G149" i="6"/>
  <c r="B149" i="6"/>
  <c r="L193" i="6" s="1"/>
  <c r="J148" i="6"/>
  <c r="G148" i="6"/>
  <c r="B148" i="6"/>
  <c r="K193" i="6" s="1"/>
  <c r="J147" i="6"/>
  <c r="G147" i="6"/>
  <c r="B147" i="6"/>
  <c r="J146" i="6"/>
  <c r="G146" i="6"/>
  <c r="B146" i="6"/>
  <c r="I156" i="6" s="1"/>
  <c r="J145" i="6"/>
  <c r="G145" i="6"/>
  <c r="B145" i="6"/>
  <c r="H156" i="6" s="1"/>
  <c r="J144" i="6"/>
  <c r="G144" i="6"/>
  <c r="B144" i="6"/>
  <c r="G193" i="6" s="1"/>
  <c r="J143" i="6"/>
  <c r="G143" i="6"/>
  <c r="B143" i="6"/>
  <c r="F193" i="6" s="1"/>
  <c r="J142" i="6"/>
  <c r="G142" i="6"/>
  <c r="B142" i="6"/>
  <c r="E193" i="6" s="1"/>
  <c r="J141" i="6"/>
  <c r="G141" i="6"/>
  <c r="B141" i="6"/>
  <c r="D193" i="6" s="1"/>
  <c r="J140" i="6"/>
  <c r="G140" i="6"/>
  <c r="B140" i="6"/>
  <c r="C193" i="6" s="1"/>
  <c r="B131" i="6"/>
  <c r="B124" i="6"/>
  <c r="L121" i="6"/>
  <c r="K90" i="6"/>
  <c r="C85" i="6"/>
  <c r="G84" i="6"/>
  <c r="D84" i="6"/>
  <c r="C84" i="6"/>
  <c r="B84" i="6"/>
  <c r="B133" i="6" s="1"/>
  <c r="G83" i="6"/>
  <c r="D83" i="6"/>
  <c r="C83" i="6"/>
  <c r="B83" i="6"/>
  <c r="B132" i="6" s="1"/>
  <c r="G82" i="6"/>
  <c r="D82" i="6"/>
  <c r="C82" i="6"/>
  <c r="B82" i="6"/>
  <c r="G81" i="6"/>
  <c r="D81" i="6"/>
  <c r="C81" i="6"/>
  <c r="B81" i="6"/>
  <c r="B130" i="6" s="1"/>
  <c r="G80" i="6"/>
  <c r="D80" i="6"/>
  <c r="C80" i="6"/>
  <c r="B80" i="6"/>
  <c r="B129" i="6" s="1"/>
  <c r="G79" i="6"/>
  <c r="D79" i="6"/>
  <c r="C79" i="6"/>
  <c r="B79" i="6"/>
  <c r="B128" i="6" s="1"/>
  <c r="G78" i="6"/>
  <c r="D78" i="6"/>
  <c r="C78" i="6"/>
  <c r="B78" i="6"/>
  <c r="B127" i="6" s="1"/>
  <c r="G77" i="6"/>
  <c r="D77" i="6"/>
  <c r="C77" i="6"/>
  <c r="B77" i="6"/>
  <c r="B126" i="6" s="1"/>
  <c r="G76" i="6"/>
  <c r="D76" i="6"/>
  <c r="C76" i="6"/>
  <c r="B76" i="6"/>
  <c r="B125" i="6" s="1"/>
  <c r="G75" i="6"/>
  <c r="D75" i="6"/>
  <c r="C75" i="6"/>
  <c r="B75" i="6"/>
  <c r="G74" i="6"/>
  <c r="D74" i="6"/>
  <c r="C74" i="6"/>
  <c r="B74" i="6"/>
  <c r="B123" i="6" s="1"/>
  <c r="G73" i="6"/>
  <c r="E73" i="6"/>
  <c r="D73" i="6"/>
  <c r="C73" i="6"/>
  <c r="B73" i="6"/>
  <c r="B122" i="6" s="1"/>
  <c r="G72" i="6"/>
  <c r="D72" i="6"/>
  <c r="C72" i="6"/>
  <c r="B72" i="6"/>
  <c r="B121" i="6" s="1"/>
  <c r="G71" i="6"/>
  <c r="D71" i="6"/>
  <c r="C71" i="6"/>
  <c r="B71" i="6"/>
  <c r="B120" i="6" s="1"/>
  <c r="G70" i="6"/>
  <c r="D70" i="6"/>
  <c r="C70" i="6"/>
  <c r="B70" i="6"/>
  <c r="B119" i="6" s="1"/>
  <c r="G69" i="6"/>
  <c r="D69" i="6"/>
  <c r="C69" i="6"/>
  <c r="B69" i="6"/>
  <c r="B118" i="6" s="1"/>
  <c r="G68" i="6"/>
  <c r="D68" i="6"/>
  <c r="C68" i="6"/>
  <c r="B68" i="6"/>
  <c r="B117" i="6" s="1"/>
  <c r="G67" i="6"/>
  <c r="D67" i="6"/>
  <c r="C67" i="6"/>
  <c r="B67" i="6"/>
  <c r="B116" i="6" s="1"/>
  <c r="G66" i="6"/>
  <c r="D66" i="6"/>
  <c r="C66" i="6"/>
  <c r="B66" i="6"/>
  <c r="B115" i="6" s="1"/>
  <c r="G65" i="6"/>
  <c r="D65" i="6"/>
  <c r="C65" i="6"/>
  <c r="B65" i="6"/>
  <c r="B114" i="6" s="1"/>
  <c r="G64" i="6"/>
  <c r="D64" i="6"/>
  <c r="C64" i="6"/>
  <c r="B64" i="6"/>
  <c r="B113" i="6" s="1"/>
  <c r="G63" i="6"/>
  <c r="D63" i="6"/>
  <c r="C63" i="6"/>
  <c r="B63" i="6"/>
  <c r="B112" i="6" s="1"/>
  <c r="G62" i="6"/>
  <c r="D62" i="6"/>
  <c r="C62" i="6"/>
  <c r="B62" i="6"/>
  <c r="B111" i="6" s="1"/>
  <c r="G61" i="6"/>
  <c r="D61" i="6"/>
  <c r="C61" i="6"/>
  <c r="B61" i="6"/>
  <c r="B110" i="6" s="1"/>
  <c r="G60" i="6"/>
  <c r="D60" i="6"/>
  <c r="C60" i="6"/>
  <c r="B60" i="6"/>
  <c r="B109" i="6" s="1"/>
  <c r="E59" i="6"/>
  <c r="D59" i="6"/>
  <c r="C59" i="6"/>
  <c r="B59" i="6"/>
  <c r="B108" i="6" s="1"/>
  <c r="E58" i="6"/>
  <c r="D58" i="6"/>
  <c r="C58" i="6"/>
  <c r="B58" i="6"/>
  <c r="B107" i="6" s="1"/>
  <c r="F57" i="6"/>
  <c r="E57" i="6"/>
  <c r="D57" i="6"/>
  <c r="C57" i="6"/>
  <c r="B57" i="6"/>
  <c r="B106" i="6" s="1"/>
  <c r="E56" i="6"/>
  <c r="D56" i="6"/>
  <c r="C56" i="6"/>
  <c r="B56" i="6"/>
  <c r="B105" i="6" s="1"/>
  <c r="F55" i="6"/>
  <c r="E55" i="6"/>
  <c r="D55" i="6"/>
  <c r="C55" i="6"/>
  <c r="B55" i="6"/>
  <c r="B104" i="6" s="1"/>
  <c r="G54" i="6"/>
  <c r="F54" i="6"/>
  <c r="E54" i="6"/>
  <c r="D54" i="6"/>
  <c r="C54" i="6"/>
  <c r="B54" i="6"/>
  <c r="B103" i="6" s="1"/>
  <c r="G53" i="6"/>
  <c r="F53" i="6"/>
  <c r="E53" i="6"/>
  <c r="D53" i="6"/>
  <c r="C53" i="6"/>
  <c r="B53" i="6"/>
  <c r="B102" i="6" s="1"/>
  <c r="G52" i="6"/>
  <c r="F52" i="6"/>
  <c r="E52" i="6"/>
  <c r="D52" i="6"/>
  <c r="C52" i="6"/>
  <c r="B52" i="6"/>
  <c r="B101" i="6" s="1"/>
  <c r="G51" i="6"/>
  <c r="F51" i="6"/>
  <c r="E51" i="6"/>
  <c r="D51" i="6"/>
  <c r="C51" i="6"/>
  <c r="B51" i="6"/>
  <c r="B100" i="6" s="1"/>
  <c r="G50" i="6"/>
  <c r="F50" i="6"/>
  <c r="E50" i="6"/>
  <c r="D50" i="6"/>
  <c r="C50" i="6"/>
  <c r="B50" i="6"/>
  <c r="B99" i="6" s="1"/>
  <c r="G49" i="6"/>
  <c r="F49" i="6"/>
  <c r="E49" i="6"/>
  <c r="D49" i="6"/>
  <c r="C49" i="6"/>
  <c r="B49" i="6"/>
  <c r="B98" i="6" s="1"/>
  <c r="G48" i="6"/>
  <c r="F48" i="6"/>
  <c r="E48" i="6"/>
  <c r="D48" i="6"/>
  <c r="C48" i="6"/>
  <c r="B48" i="6"/>
  <c r="B97" i="6" s="1"/>
  <c r="G47" i="6"/>
  <c r="F47" i="6"/>
  <c r="E47" i="6"/>
  <c r="D47" i="6"/>
  <c r="C47" i="6"/>
  <c r="B47" i="6"/>
  <c r="B96" i="6" s="1"/>
  <c r="G46" i="6"/>
  <c r="F46" i="6"/>
  <c r="E46" i="6"/>
  <c r="D46" i="6"/>
  <c r="C46" i="6"/>
  <c r="B46" i="6"/>
  <c r="B95" i="6" s="1"/>
  <c r="G45" i="6"/>
  <c r="F45" i="6"/>
  <c r="E45" i="6"/>
  <c r="D45" i="6"/>
  <c r="C45" i="6"/>
  <c r="B45" i="6"/>
  <c r="B94" i="6" s="1"/>
  <c r="G44" i="6"/>
  <c r="F44" i="6"/>
  <c r="E44" i="6"/>
  <c r="D44" i="6"/>
  <c r="C44" i="6"/>
  <c r="B44" i="6"/>
  <c r="B93" i="6" s="1"/>
  <c r="G43" i="6"/>
  <c r="F43" i="6"/>
  <c r="E43" i="6"/>
  <c r="D43" i="6"/>
  <c r="D85" i="6" s="1"/>
  <c r="C43" i="6"/>
  <c r="B43" i="6"/>
  <c r="B92" i="6" s="1"/>
  <c r="F37" i="6"/>
  <c r="E37" i="6"/>
  <c r="C37" i="6"/>
  <c r="N90" i="6" s="1"/>
  <c r="B37" i="6"/>
  <c r="N89" i="6" s="1"/>
  <c r="F36" i="6"/>
  <c r="E36" i="6"/>
  <c r="C36" i="6"/>
  <c r="M90" i="6" s="1"/>
  <c r="B36" i="6"/>
  <c r="M89" i="6" s="1"/>
  <c r="F35" i="6"/>
  <c r="E35" i="6"/>
  <c r="D35" i="6"/>
  <c r="L91" i="6" s="1"/>
  <c r="L132" i="6" s="1"/>
  <c r="C35" i="6"/>
  <c r="L90" i="6" s="1"/>
  <c r="B35" i="6"/>
  <c r="L89" i="6" s="1"/>
  <c r="F34" i="6"/>
  <c r="E34" i="6"/>
  <c r="C34" i="6"/>
  <c r="B34" i="6"/>
  <c r="K89" i="6" s="1"/>
  <c r="F33" i="6"/>
  <c r="E33" i="6"/>
  <c r="C33" i="6"/>
  <c r="J90" i="6" s="1"/>
  <c r="B33" i="6"/>
  <c r="J89" i="6" s="1"/>
  <c r="F32" i="6"/>
  <c r="E32" i="6"/>
  <c r="C32" i="6"/>
  <c r="I90" i="6" s="1"/>
  <c r="B32" i="6"/>
  <c r="I89" i="6" s="1"/>
  <c r="F31" i="6"/>
  <c r="E31" i="6"/>
  <c r="D31" i="6"/>
  <c r="H91" i="6" s="1"/>
  <c r="H131" i="6" s="1"/>
  <c r="C31" i="6"/>
  <c r="H90" i="6" s="1"/>
  <c r="B31" i="6"/>
  <c r="H89" i="6" s="1"/>
  <c r="F30" i="6"/>
  <c r="E30" i="6"/>
  <c r="C30" i="6"/>
  <c r="G90" i="6" s="1"/>
  <c r="B30" i="6"/>
  <c r="G89" i="6" s="1"/>
  <c r="F29" i="6"/>
  <c r="E29" i="6"/>
  <c r="C29" i="6"/>
  <c r="F90" i="6" s="1"/>
  <c r="B29" i="6"/>
  <c r="F89" i="6" s="1"/>
  <c r="F28" i="6"/>
  <c r="E28" i="6"/>
  <c r="C28" i="6"/>
  <c r="E90" i="6" s="1"/>
  <c r="B28" i="6"/>
  <c r="E89" i="6" s="1"/>
  <c r="F27" i="6"/>
  <c r="E27" i="6"/>
  <c r="D27" i="6"/>
  <c r="D91" i="6" s="1"/>
  <c r="D117" i="6" s="1"/>
  <c r="C27" i="6"/>
  <c r="D90" i="6" s="1"/>
  <c r="B27" i="6"/>
  <c r="D89" i="6" s="1"/>
  <c r="F26" i="6"/>
  <c r="F38" i="6" s="1"/>
  <c r="E26" i="6"/>
  <c r="E38" i="6" s="1"/>
  <c r="C26" i="6"/>
  <c r="C90" i="6" s="1"/>
  <c r="B26" i="6"/>
  <c r="C89" i="6" s="1"/>
  <c r="C19" i="6"/>
  <c r="O69" i="5"/>
  <c r="R68" i="5"/>
  <c r="O68" i="5"/>
  <c r="N68" i="5"/>
  <c r="N69" i="5" s="1"/>
  <c r="M68" i="5"/>
  <c r="L68" i="5"/>
  <c r="K68" i="5"/>
  <c r="J68" i="5"/>
  <c r="I68" i="5"/>
  <c r="D68" i="5"/>
  <c r="T67" i="5"/>
  <c r="S67" i="5"/>
  <c r="D258" i="6" s="1"/>
  <c r="Q67" i="5"/>
  <c r="P67" i="5"/>
  <c r="T66" i="5"/>
  <c r="S66" i="5"/>
  <c r="D257" i="6" s="1"/>
  <c r="Q66" i="5"/>
  <c r="P66" i="5"/>
  <c r="T65" i="5"/>
  <c r="S65" i="5"/>
  <c r="D256" i="6" s="1"/>
  <c r="Q65" i="5"/>
  <c r="P65" i="5"/>
  <c r="T64" i="5"/>
  <c r="S64" i="5"/>
  <c r="D255" i="6" s="1"/>
  <c r="Q64" i="5"/>
  <c r="P64" i="5"/>
  <c r="T63" i="5"/>
  <c r="S63" i="5"/>
  <c r="D254" i="6" s="1"/>
  <c r="Q63" i="5"/>
  <c r="P63" i="5"/>
  <c r="T62" i="5"/>
  <c r="S62" i="5"/>
  <c r="D253" i="6" s="1"/>
  <c r="Q62" i="5"/>
  <c r="P62" i="5"/>
  <c r="T61" i="5"/>
  <c r="S61" i="5"/>
  <c r="D252" i="6" s="1"/>
  <c r="Q61" i="5"/>
  <c r="P61" i="5"/>
  <c r="G61" i="5"/>
  <c r="H252" i="6" s="1"/>
  <c r="T60" i="5"/>
  <c r="S60" i="5"/>
  <c r="D251" i="6" s="1"/>
  <c r="Q60" i="5"/>
  <c r="P60" i="5"/>
  <c r="T59" i="5"/>
  <c r="S59" i="5"/>
  <c r="D250" i="6" s="1"/>
  <c r="Q59" i="5"/>
  <c r="P59" i="5"/>
  <c r="T58" i="5"/>
  <c r="S58" i="5"/>
  <c r="D249" i="6" s="1"/>
  <c r="Q58" i="5"/>
  <c r="P58" i="5"/>
  <c r="T57" i="5"/>
  <c r="S57" i="5"/>
  <c r="D248" i="6" s="1"/>
  <c r="Q57" i="5"/>
  <c r="P57" i="5"/>
  <c r="G57" i="5"/>
  <c r="H248" i="6" s="1"/>
  <c r="T56" i="5"/>
  <c r="S56" i="5"/>
  <c r="D247" i="6" s="1"/>
  <c r="Q56" i="5"/>
  <c r="P56" i="5"/>
  <c r="G56" i="5"/>
  <c r="H247" i="6" s="1"/>
  <c r="T55" i="5"/>
  <c r="S55" i="5"/>
  <c r="D246" i="6" s="1"/>
  <c r="Q55" i="5"/>
  <c r="P55" i="5"/>
  <c r="T54" i="5"/>
  <c r="S54" i="5"/>
  <c r="D245" i="6" s="1"/>
  <c r="Q54" i="5"/>
  <c r="P54" i="5"/>
  <c r="T53" i="5"/>
  <c r="S53" i="5"/>
  <c r="D244" i="6" s="1"/>
  <c r="Q53" i="5"/>
  <c r="P53" i="5"/>
  <c r="G53" i="5"/>
  <c r="H244" i="6" s="1"/>
  <c r="T52" i="5"/>
  <c r="S52" i="5"/>
  <c r="D243" i="6" s="1"/>
  <c r="Q52" i="5"/>
  <c r="P52" i="5"/>
  <c r="T51" i="5"/>
  <c r="S51" i="5"/>
  <c r="D242" i="6" s="1"/>
  <c r="Q51" i="5"/>
  <c r="P51" i="5"/>
  <c r="T50" i="5"/>
  <c r="S50" i="5"/>
  <c r="D241" i="6" s="1"/>
  <c r="Q50" i="5"/>
  <c r="P50" i="5"/>
  <c r="T49" i="5"/>
  <c r="S49" i="5"/>
  <c r="D240" i="6" s="1"/>
  <c r="Q49" i="5"/>
  <c r="P49" i="5"/>
  <c r="T48" i="5"/>
  <c r="S48" i="5"/>
  <c r="D239" i="6" s="1"/>
  <c r="Q48" i="5"/>
  <c r="P48" i="5"/>
  <c r="T47" i="5"/>
  <c r="S47" i="5"/>
  <c r="D238" i="6" s="1"/>
  <c r="Q47" i="5"/>
  <c r="P47" i="5"/>
  <c r="T46" i="5"/>
  <c r="S46" i="5"/>
  <c r="D237" i="6" s="1"/>
  <c r="Q46" i="5"/>
  <c r="P46" i="5"/>
  <c r="T45" i="5"/>
  <c r="S45" i="5"/>
  <c r="D236" i="6" s="1"/>
  <c r="Q45" i="5"/>
  <c r="P45" i="5"/>
  <c r="G45" i="5"/>
  <c r="H236" i="6" s="1"/>
  <c r="T44" i="5"/>
  <c r="S44" i="5"/>
  <c r="D235" i="6" s="1"/>
  <c r="Q44" i="5"/>
  <c r="P44" i="5"/>
  <c r="T43" i="5"/>
  <c r="S43" i="5"/>
  <c r="D234" i="6" s="1"/>
  <c r="Q43" i="5"/>
  <c r="P43" i="5"/>
  <c r="T42" i="5"/>
  <c r="S42" i="5"/>
  <c r="D233" i="6" s="1"/>
  <c r="Q42" i="5"/>
  <c r="P42" i="5"/>
  <c r="F42" i="5"/>
  <c r="F59" i="6" s="1"/>
  <c r="T41" i="5"/>
  <c r="S41" i="5"/>
  <c r="D232" i="6" s="1"/>
  <c r="Q41" i="5"/>
  <c r="P41" i="5"/>
  <c r="H41" i="5"/>
  <c r="F41" i="5"/>
  <c r="F58" i="6" s="1"/>
  <c r="E41" i="5"/>
  <c r="T40" i="5"/>
  <c r="S40" i="5"/>
  <c r="D231" i="6" s="1"/>
  <c r="Q40" i="5"/>
  <c r="P40" i="5"/>
  <c r="F40" i="5"/>
  <c r="H40" i="5" s="1"/>
  <c r="T39" i="5"/>
  <c r="S39" i="5"/>
  <c r="D230" i="6" s="1"/>
  <c r="Q39" i="5"/>
  <c r="P39" i="5"/>
  <c r="H39" i="5"/>
  <c r="F39" i="5"/>
  <c r="F56" i="6" s="1"/>
  <c r="T38" i="5"/>
  <c r="S38" i="5"/>
  <c r="D229" i="6" s="1"/>
  <c r="Q38" i="5"/>
  <c r="Q68" i="5" s="1"/>
  <c r="P38" i="5"/>
  <c r="P68" i="5" s="1"/>
  <c r="F38" i="5"/>
  <c r="F68" i="5" s="1"/>
  <c r="R34" i="5"/>
  <c r="Q34" i="5"/>
  <c r="O34" i="5"/>
  <c r="N34" i="5"/>
  <c r="M34" i="5"/>
  <c r="L34" i="5"/>
  <c r="K34" i="5"/>
  <c r="J34" i="5"/>
  <c r="D34" i="5"/>
  <c r="T33" i="5"/>
  <c r="S33" i="5"/>
  <c r="C151" i="6" s="1"/>
  <c r="Q33" i="5"/>
  <c r="P33" i="5"/>
  <c r="T32" i="5"/>
  <c r="S32" i="5"/>
  <c r="C150" i="6" s="1"/>
  <c r="Q32" i="5"/>
  <c r="P32" i="5"/>
  <c r="T31" i="5"/>
  <c r="S31" i="5"/>
  <c r="C149" i="6" s="1"/>
  <c r="Q31" i="5"/>
  <c r="P31" i="5"/>
  <c r="T30" i="5"/>
  <c r="S30" i="5"/>
  <c r="C148" i="6" s="1"/>
  <c r="Q30" i="5"/>
  <c r="P30" i="5"/>
  <c r="T29" i="5"/>
  <c r="S29" i="5"/>
  <c r="C147" i="6" s="1"/>
  <c r="Q29" i="5"/>
  <c r="P29" i="5"/>
  <c r="T28" i="5"/>
  <c r="S28" i="5"/>
  <c r="C146" i="6" s="1"/>
  <c r="Q28" i="5"/>
  <c r="P28" i="5"/>
  <c r="T27" i="5"/>
  <c r="S27" i="5"/>
  <c r="C145" i="6" s="1"/>
  <c r="Q27" i="5"/>
  <c r="P27" i="5"/>
  <c r="T26" i="5"/>
  <c r="S26" i="5"/>
  <c r="C144" i="6" s="1"/>
  <c r="Q26" i="5"/>
  <c r="P26" i="5"/>
  <c r="T25" i="5"/>
  <c r="S25" i="5"/>
  <c r="C143" i="6" s="1"/>
  <c r="Q25" i="5"/>
  <c r="P25" i="5"/>
  <c r="T24" i="5"/>
  <c r="S24" i="5"/>
  <c r="C142" i="6" s="1"/>
  <c r="Q24" i="5"/>
  <c r="P24" i="5"/>
  <c r="T23" i="5"/>
  <c r="S23" i="5"/>
  <c r="C141" i="6" s="1"/>
  <c r="Q23" i="5"/>
  <c r="P23" i="5"/>
  <c r="T22" i="5"/>
  <c r="S22" i="5"/>
  <c r="C140" i="6" s="1"/>
  <c r="Q22" i="5"/>
  <c r="P22" i="5"/>
  <c r="P34" i="5" s="1"/>
  <c r="R18" i="5"/>
  <c r="R69" i="5" s="1"/>
  <c r="P18" i="5"/>
  <c r="O18" i="5"/>
  <c r="N18" i="5"/>
  <c r="M18" i="5"/>
  <c r="M69" i="5" s="1"/>
  <c r="L18" i="5"/>
  <c r="L69" i="5" s="1"/>
  <c r="K18" i="5"/>
  <c r="K69" i="5" s="1"/>
  <c r="J18" i="5"/>
  <c r="J69" i="5" s="1"/>
  <c r="D18" i="5"/>
  <c r="D69" i="5" s="1"/>
  <c r="T17" i="5"/>
  <c r="S17" i="5"/>
  <c r="D37" i="6" s="1"/>
  <c r="N91" i="6" s="1"/>
  <c r="Q17" i="5"/>
  <c r="P17" i="5"/>
  <c r="T16" i="5"/>
  <c r="S16" i="5"/>
  <c r="D36" i="6" s="1"/>
  <c r="M91" i="6" s="1"/>
  <c r="Q16" i="5"/>
  <c r="P16" i="5"/>
  <c r="T15" i="5"/>
  <c r="S15" i="5"/>
  <c r="Q15" i="5"/>
  <c r="P15" i="5"/>
  <c r="T14" i="5"/>
  <c r="S14" i="5"/>
  <c r="D34" i="6" s="1"/>
  <c r="K91" i="6" s="1"/>
  <c r="Q14" i="5"/>
  <c r="P14" i="5"/>
  <c r="T13" i="5"/>
  <c r="S13" i="5"/>
  <c r="D33" i="6" s="1"/>
  <c r="J91" i="6" s="1"/>
  <c r="Q13" i="5"/>
  <c r="P13" i="5"/>
  <c r="T12" i="5"/>
  <c r="S12" i="5"/>
  <c r="D32" i="6" s="1"/>
  <c r="I91" i="6" s="1"/>
  <c r="Q12" i="5"/>
  <c r="P12" i="5"/>
  <c r="T11" i="5"/>
  <c r="S11" i="5"/>
  <c r="Q11" i="5"/>
  <c r="P11" i="5"/>
  <c r="T10" i="5"/>
  <c r="S10" i="5"/>
  <c r="D30" i="6" s="1"/>
  <c r="G91" i="6" s="1"/>
  <c r="Q10" i="5"/>
  <c r="P10" i="5"/>
  <c r="T9" i="5"/>
  <c r="S9" i="5"/>
  <c r="D29" i="6" s="1"/>
  <c r="F91" i="6" s="1"/>
  <c r="Q9" i="5"/>
  <c r="P9" i="5"/>
  <c r="T8" i="5"/>
  <c r="S8" i="5"/>
  <c r="D28" i="6" s="1"/>
  <c r="E91" i="6" s="1"/>
  <c r="Q8" i="5"/>
  <c r="P8" i="5"/>
  <c r="T7" i="5"/>
  <c r="S7" i="5"/>
  <c r="Q7" i="5"/>
  <c r="P7" i="5"/>
  <c r="T6" i="5"/>
  <c r="S6" i="5"/>
  <c r="D26" i="6" s="1"/>
  <c r="Q6" i="5"/>
  <c r="Q18" i="5" s="1"/>
  <c r="Q69" i="5" s="1"/>
  <c r="B48" i="4" s="1"/>
  <c r="F48" i="4" s="1"/>
  <c r="P6" i="5"/>
  <c r="T3" i="5"/>
  <c r="T2" i="5"/>
  <c r="B52" i="4"/>
  <c r="B51" i="4"/>
  <c r="B39" i="4"/>
  <c r="B38" i="4"/>
  <c r="B40" i="4" s="1"/>
  <c r="B41" i="4" s="1"/>
  <c r="F41" i="4" s="1"/>
  <c r="B37" i="4"/>
  <c r="F37" i="4" s="1"/>
  <c r="F36" i="4"/>
  <c r="B33" i="4"/>
  <c r="F32" i="4"/>
  <c r="F31" i="4"/>
  <c r="F30" i="4"/>
  <c r="F29" i="4"/>
  <c r="F28" i="4"/>
  <c r="F27" i="4"/>
  <c r="F24" i="4"/>
  <c r="B22" i="4"/>
  <c r="F21" i="4"/>
  <c r="F20" i="4"/>
  <c r="B19" i="4"/>
  <c r="B23" i="4" s="1"/>
  <c r="B25" i="4" s="1"/>
  <c r="F25" i="4" s="1"/>
  <c r="B18" i="4"/>
  <c r="F17" i="4"/>
  <c r="F16" i="4"/>
  <c r="F15" i="4"/>
  <c r="F14" i="4"/>
  <c r="F13" i="4"/>
  <c r="F12" i="4"/>
  <c r="F11" i="4"/>
  <c r="B9" i="4"/>
  <c r="F8" i="4"/>
  <c r="F7" i="4"/>
  <c r="F6" i="4"/>
  <c r="F5" i="4"/>
  <c r="F4" i="4"/>
  <c r="F3" i="4"/>
  <c r="E32" i="3"/>
  <c r="D32" i="3"/>
  <c r="C32" i="3"/>
  <c r="B32" i="3"/>
  <c r="S31" i="3"/>
  <c r="G31" i="3"/>
  <c r="F31" i="3"/>
  <c r="G67" i="5" s="1"/>
  <c r="S30" i="3"/>
  <c r="G30" i="3"/>
  <c r="F30" i="3"/>
  <c r="G66" i="5" s="1"/>
  <c r="S29" i="3"/>
  <c r="G29" i="3"/>
  <c r="F29" i="3"/>
  <c r="G65" i="5" s="1"/>
  <c r="S28" i="3"/>
  <c r="G28" i="3"/>
  <c r="F28" i="3"/>
  <c r="G64" i="5" s="1"/>
  <c r="S27" i="3"/>
  <c r="G27" i="3"/>
  <c r="F27" i="3"/>
  <c r="G63" i="5" s="1"/>
  <c r="S26" i="3"/>
  <c r="G26" i="3"/>
  <c r="F26" i="3"/>
  <c r="G62" i="5" s="1"/>
  <c r="S25" i="3"/>
  <c r="G25" i="3"/>
  <c r="F25" i="3"/>
  <c r="S24" i="3"/>
  <c r="G24" i="3"/>
  <c r="F24" i="3"/>
  <c r="G60" i="5" s="1"/>
  <c r="S23" i="3"/>
  <c r="G23" i="3"/>
  <c r="F23" i="3"/>
  <c r="G59" i="5" s="1"/>
  <c r="T22" i="3"/>
  <c r="S22" i="3"/>
  <c r="M22" i="3"/>
  <c r="H151" i="6" s="1"/>
  <c r="I151" i="6" s="1"/>
  <c r="G22" i="3"/>
  <c r="F22" i="3"/>
  <c r="G58" i="5" s="1"/>
  <c r="T21" i="3"/>
  <c r="S21" i="3"/>
  <c r="M21" i="3"/>
  <c r="H150" i="6" s="1"/>
  <c r="I150" i="6" s="1"/>
  <c r="G21" i="3"/>
  <c r="F21" i="3"/>
  <c r="T20" i="3"/>
  <c r="S20" i="3"/>
  <c r="M20" i="3"/>
  <c r="H149" i="6" s="1"/>
  <c r="I149" i="6" s="1"/>
  <c r="G20" i="3"/>
  <c r="F20" i="3"/>
  <c r="T19" i="3"/>
  <c r="S19" i="3"/>
  <c r="M19" i="3"/>
  <c r="H148" i="6" s="1"/>
  <c r="I148" i="6" s="1"/>
  <c r="G19" i="3"/>
  <c r="F19" i="3"/>
  <c r="G55" i="5" s="1"/>
  <c r="T18" i="3"/>
  <c r="S18" i="3"/>
  <c r="M18" i="3"/>
  <c r="H147" i="6" s="1"/>
  <c r="I147" i="6" s="1"/>
  <c r="G18" i="3"/>
  <c r="F18" i="3"/>
  <c r="G54" i="5" s="1"/>
  <c r="S17" i="3"/>
  <c r="L17" i="3"/>
  <c r="M17" i="3" s="1"/>
  <c r="H146" i="6" s="1"/>
  <c r="I146" i="6" s="1"/>
  <c r="K17" i="3"/>
  <c r="G17" i="3"/>
  <c r="F17" i="3"/>
  <c r="T16" i="3"/>
  <c r="S16" i="3"/>
  <c r="M16" i="3"/>
  <c r="H145" i="6" s="1"/>
  <c r="I145" i="6" s="1"/>
  <c r="G16" i="3"/>
  <c r="F16" i="3"/>
  <c r="G52" i="5" s="1"/>
  <c r="T15" i="3"/>
  <c r="S15" i="3"/>
  <c r="M15" i="3"/>
  <c r="H144" i="6" s="1"/>
  <c r="I144" i="6" s="1"/>
  <c r="G15" i="3"/>
  <c r="G32" i="3" s="1"/>
  <c r="F15" i="3"/>
  <c r="G51" i="5" s="1"/>
  <c r="T14" i="3"/>
  <c r="S14" i="3"/>
  <c r="M14" i="3"/>
  <c r="H143" i="6" s="1"/>
  <c r="I143" i="6" s="1"/>
  <c r="G14" i="3"/>
  <c r="F14" i="3"/>
  <c r="G50" i="5" s="1"/>
  <c r="T13" i="3"/>
  <c r="S13" i="3"/>
  <c r="M13" i="3"/>
  <c r="H142" i="6" s="1"/>
  <c r="I142" i="6" s="1"/>
  <c r="G13" i="3"/>
  <c r="F13" i="3"/>
  <c r="G49" i="5" s="1"/>
  <c r="T12" i="3"/>
  <c r="S12" i="3"/>
  <c r="M12" i="3"/>
  <c r="H141" i="6" s="1"/>
  <c r="I141" i="6" s="1"/>
  <c r="G12" i="3"/>
  <c r="F12" i="3"/>
  <c r="G48" i="5" s="1"/>
  <c r="T11" i="3"/>
  <c r="S11" i="3"/>
  <c r="M11" i="3"/>
  <c r="H140" i="6" s="1"/>
  <c r="I140" i="6" s="1"/>
  <c r="G11" i="3"/>
  <c r="F11" i="3"/>
  <c r="G47" i="5" s="1"/>
  <c r="S10" i="3"/>
  <c r="G10" i="3"/>
  <c r="F10" i="3"/>
  <c r="G46" i="5" s="1"/>
  <c r="S9" i="3"/>
  <c r="G9" i="3"/>
  <c r="F9" i="3"/>
  <c r="S8" i="3"/>
  <c r="G8" i="3"/>
  <c r="F8" i="3"/>
  <c r="G44" i="5" s="1"/>
  <c r="S7" i="3"/>
  <c r="N7" i="3"/>
  <c r="J7" i="3"/>
  <c r="B53" i="2" s="1"/>
  <c r="F53" i="2" s="1"/>
  <c r="G7" i="3"/>
  <c r="F7" i="3"/>
  <c r="C270" i="6" s="1"/>
  <c r="D270" i="6" s="1"/>
  <c r="F270" i="6" s="1"/>
  <c r="I270" i="6" s="1"/>
  <c r="T6" i="3"/>
  <c r="S6" i="3"/>
  <c r="M6" i="3"/>
  <c r="P6" i="3" s="1"/>
  <c r="L6" i="3"/>
  <c r="K6" i="3"/>
  <c r="G6" i="3"/>
  <c r="E42" i="5" s="1"/>
  <c r="F6" i="3"/>
  <c r="T5" i="3"/>
  <c r="S5" i="3"/>
  <c r="L5" i="3"/>
  <c r="K5" i="3"/>
  <c r="M5" i="3" s="1"/>
  <c r="G5" i="3"/>
  <c r="F5" i="3"/>
  <c r="T4" i="3"/>
  <c r="S4" i="3"/>
  <c r="M4" i="3"/>
  <c r="P4" i="3" s="1"/>
  <c r="L4" i="3"/>
  <c r="K4" i="3"/>
  <c r="G4" i="3"/>
  <c r="E40" i="5" s="1"/>
  <c r="F4" i="3"/>
  <c r="T3" i="3"/>
  <c r="S3" i="3"/>
  <c r="L3" i="3"/>
  <c r="K3" i="3"/>
  <c r="M3" i="3" s="1"/>
  <c r="G3" i="3"/>
  <c r="E39" i="5" s="1"/>
  <c r="F3" i="3"/>
  <c r="T2" i="3"/>
  <c r="S2" i="3"/>
  <c r="M2" i="3"/>
  <c r="L2" i="3"/>
  <c r="L7" i="3" s="1"/>
  <c r="B11" i="2" s="1"/>
  <c r="F11" i="2" s="1"/>
  <c r="K2" i="3"/>
  <c r="K7" i="3" s="1"/>
  <c r="B10" i="2" s="1"/>
  <c r="F10" i="2" s="1"/>
  <c r="G2" i="3"/>
  <c r="E38" i="5" s="1"/>
  <c r="F2" i="3"/>
  <c r="F69" i="2"/>
  <c r="F68" i="2"/>
  <c r="F67" i="2"/>
  <c r="F66" i="2"/>
  <c r="F65" i="2"/>
  <c r="F64" i="2"/>
  <c r="B51" i="2"/>
  <c r="F51" i="2" s="1"/>
  <c r="F50" i="2"/>
  <c r="B50" i="2"/>
  <c r="F48" i="2"/>
  <c r="B48" i="2"/>
  <c r="B47" i="2"/>
  <c r="B49" i="2" s="1"/>
  <c r="F49" i="2" s="1"/>
  <c r="F44" i="2"/>
  <c r="C44" i="2"/>
  <c r="B44" i="2"/>
  <c r="F43" i="2"/>
  <c r="F42" i="2"/>
  <c r="F41" i="2"/>
  <c r="F40" i="2"/>
  <c r="F39" i="2"/>
  <c r="F38" i="2"/>
  <c r="F37" i="2"/>
  <c r="F36" i="2"/>
  <c r="F35" i="2"/>
  <c r="F34" i="2"/>
  <c r="F33" i="2"/>
  <c r="B30" i="2"/>
  <c r="F29" i="2"/>
  <c r="B29" i="2"/>
  <c r="F28" i="2"/>
  <c r="B28" i="2"/>
  <c r="B27" i="2"/>
  <c r="F27" i="2" s="1"/>
  <c r="B26" i="2"/>
  <c r="F26" i="2" s="1"/>
  <c r="F25" i="2"/>
  <c r="B25" i="2"/>
  <c r="F22" i="2"/>
  <c r="B22" i="2"/>
  <c r="F20" i="2"/>
  <c r="B20" i="2"/>
  <c r="B19" i="2"/>
  <c r="F19" i="2" s="1"/>
  <c r="F18" i="2"/>
  <c r="B18" i="2"/>
  <c r="F17" i="2"/>
  <c r="B17" i="2"/>
  <c r="F16" i="2"/>
  <c r="B16" i="2"/>
  <c r="B15" i="2"/>
  <c r="F15" i="2" s="1"/>
  <c r="F14" i="2"/>
  <c r="B14" i="2"/>
  <c r="F13" i="2"/>
  <c r="B13" i="2"/>
  <c r="F12" i="2"/>
  <c r="B12" i="2"/>
  <c r="F5" i="2"/>
  <c r="F4" i="2"/>
  <c r="F3" i="2"/>
  <c r="F2" i="2"/>
  <c r="F32" i="3" l="1"/>
  <c r="H242" i="6"/>
  <c r="F68" i="6"/>
  <c r="E68" i="6"/>
  <c r="H250" i="6"/>
  <c r="F76" i="6"/>
  <c r="E76" i="6"/>
  <c r="H258" i="6"/>
  <c r="F84" i="6"/>
  <c r="E84" i="6"/>
  <c r="F131" i="6"/>
  <c r="F132" i="6"/>
  <c r="F128" i="6"/>
  <c r="F124" i="6"/>
  <c r="F120" i="6"/>
  <c r="F127" i="6"/>
  <c r="F115" i="6"/>
  <c r="F111" i="6"/>
  <c r="F107" i="6"/>
  <c r="F103" i="6"/>
  <c r="F99" i="6"/>
  <c r="F95" i="6"/>
  <c r="F129" i="6"/>
  <c r="F121" i="6"/>
  <c r="F119" i="6"/>
  <c r="F116" i="6"/>
  <c r="F112" i="6"/>
  <c r="F108" i="6"/>
  <c r="F104" i="6"/>
  <c r="F100" i="6"/>
  <c r="F96" i="6"/>
  <c r="F92" i="6"/>
  <c r="F133" i="6"/>
  <c r="F122" i="6"/>
  <c r="F130" i="6"/>
  <c r="F123" i="6"/>
  <c r="F117" i="6"/>
  <c r="F113" i="6"/>
  <c r="F109" i="6"/>
  <c r="F105" i="6"/>
  <c r="F101" i="6"/>
  <c r="F97" i="6"/>
  <c r="F93" i="6"/>
  <c r="F125" i="6"/>
  <c r="F118" i="6"/>
  <c r="F102" i="6"/>
  <c r="F106" i="6"/>
  <c r="F110" i="6"/>
  <c r="F94" i="6"/>
  <c r="F126" i="6"/>
  <c r="F114" i="6"/>
  <c r="F98" i="6"/>
  <c r="J133" i="6"/>
  <c r="J130" i="6"/>
  <c r="J126" i="6"/>
  <c r="J122" i="6"/>
  <c r="J118" i="6"/>
  <c r="J132" i="6"/>
  <c r="J129" i="6"/>
  <c r="J121" i="6"/>
  <c r="J117" i="6"/>
  <c r="J113" i="6"/>
  <c r="J109" i="6"/>
  <c r="J105" i="6"/>
  <c r="J101" i="6"/>
  <c r="J97" i="6"/>
  <c r="J93" i="6"/>
  <c r="J123" i="6"/>
  <c r="J120" i="6"/>
  <c r="J114" i="6"/>
  <c r="J110" i="6"/>
  <c r="J106" i="6"/>
  <c r="J102" i="6"/>
  <c r="J98" i="6"/>
  <c r="J94" i="6"/>
  <c r="J124" i="6"/>
  <c r="J131" i="6"/>
  <c r="J125" i="6"/>
  <c r="J115" i="6"/>
  <c r="J111" i="6"/>
  <c r="J107" i="6"/>
  <c r="J103" i="6"/>
  <c r="J99" i="6"/>
  <c r="J95" i="6"/>
  <c r="J127" i="6"/>
  <c r="J104" i="6"/>
  <c r="J108" i="6"/>
  <c r="J92" i="6"/>
  <c r="J128" i="6"/>
  <c r="J119" i="6"/>
  <c r="J112" i="6"/>
  <c r="J96" i="6"/>
  <c r="J116" i="6"/>
  <c r="J100" i="6"/>
  <c r="M7" i="3"/>
  <c r="H237" i="6"/>
  <c r="E63" i="6"/>
  <c r="F63" i="6"/>
  <c r="H239" i="6"/>
  <c r="F65" i="6"/>
  <c r="E65" i="6"/>
  <c r="H253" i="6"/>
  <c r="E79" i="6"/>
  <c r="F79" i="6"/>
  <c r="P69" i="5"/>
  <c r="H233" i="6"/>
  <c r="J163" i="6"/>
  <c r="I163" i="6"/>
  <c r="G59" i="6"/>
  <c r="H256" i="6"/>
  <c r="F82" i="6"/>
  <c r="E82" i="6"/>
  <c r="C274" i="6"/>
  <c r="E274" i="6" s="1"/>
  <c r="B43" i="4"/>
  <c r="F43" i="4" s="1"/>
  <c r="H235" i="6"/>
  <c r="F61" i="6"/>
  <c r="E61" i="6"/>
  <c r="H238" i="6"/>
  <c r="F64" i="6"/>
  <c r="E64" i="6"/>
  <c r="H246" i="6"/>
  <c r="F72" i="6"/>
  <c r="E72" i="6"/>
  <c r="H254" i="6"/>
  <c r="F80" i="6"/>
  <c r="E80" i="6"/>
  <c r="C91" i="6"/>
  <c r="D38" i="6"/>
  <c r="D281" i="6" s="1"/>
  <c r="F281" i="6" s="1"/>
  <c r="E130" i="6"/>
  <c r="E126" i="6"/>
  <c r="E122" i="6"/>
  <c r="E131" i="6"/>
  <c r="E127" i="6"/>
  <c r="E123" i="6"/>
  <c r="E132" i="6"/>
  <c r="E128" i="6"/>
  <c r="E124" i="6"/>
  <c r="E115" i="6"/>
  <c r="E111" i="6"/>
  <c r="E107" i="6"/>
  <c r="E103" i="6"/>
  <c r="E99" i="6"/>
  <c r="E95" i="6"/>
  <c r="E129" i="6"/>
  <c r="E121" i="6"/>
  <c r="E119" i="6"/>
  <c r="E116" i="6"/>
  <c r="E112" i="6"/>
  <c r="E108" i="6"/>
  <c r="E104" i="6"/>
  <c r="E100" i="6"/>
  <c r="E96" i="6"/>
  <c r="E92" i="6"/>
  <c r="E133" i="6"/>
  <c r="E117" i="6"/>
  <c r="E113" i="6"/>
  <c r="E109" i="6"/>
  <c r="E105" i="6"/>
  <c r="E101" i="6"/>
  <c r="E97" i="6"/>
  <c r="E93" i="6"/>
  <c r="E125" i="6"/>
  <c r="E118" i="6"/>
  <c r="E102" i="6"/>
  <c r="E120" i="6"/>
  <c r="E106" i="6"/>
  <c r="E110" i="6"/>
  <c r="E94" i="6"/>
  <c r="E114" i="6"/>
  <c r="E98" i="6"/>
  <c r="G131" i="6"/>
  <c r="G127" i="6"/>
  <c r="G123" i="6"/>
  <c r="G132" i="6"/>
  <c r="G128" i="6"/>
  <c r="G124" i="6"/>
  <c r="G133" i="6"/>
  <c r="G129" i="6"/>
  <c r="G125" i="6"/>
  <c r="G121" i="6"/>
  <c r="G119" i="6"/>
  <c r="G116" i="6"/>
  <c r="G112" i="6"/>
  <c r="G108" i="6"/>
  <c r="G104" i="6"/>
  <c r="G100" i="6"/>
  <c r="G96" i="6"/>
  <c r="G92" i="6"/>
  <c r="G122" i="6"/>
  <c r="G130" i="6"/>
  <c r="G117" i="6"/>
  <c r="G113" i="6"/>
  <c r="G109" i="6"/>
  <c r="G105" i="6"/>
  <c r="G101" i="6"/>
  <c r="G97" i="6"/>
  <c r="G93" i="6"/>
  <c r="G120" i="6"/>
  <c r="G118" i="6"/>
  <c r="G114" i="6"/>
  <c r="G110" i="6"/>
  <c r="G106" i="6"/>
  <c r="G102" i="6"/>
  <c r="G98" i="6"/>
  <c r="G94" i="6"/>
  <c r="G111" i="6"/>
  <c r="G95" i="6"/>
  <c r="G115" i="6"/>
  <c r="G99" i="6"/>
  <c r="G103" i="6"/>
  <c r="G107" i="6"/>
  <c r="G126" i="6"/>
  <c r="K133" i="6"/>
  <c r="K129" i="6"/>
  <c r="K125" i="6"/>
  <c r="K121" i="6"/>
  <c r="K130" i="6"/>
  <c r="K126" i="6"/>
  <c r="K122" i="6"/>
  <c r="K131" i="6"/>
  <c r="K127" i="6"/>
  <c r="K123" i="6"/>
  <c r="K120" i="6"/>
  <c r="K114" i="6"/>
  <c r="K110" i="6"/>
  <c r="K106" i="6"/>
  <c r="K102" i="6"/>
  <c r="K98" i="6"/>
  <c r="K94" i="6"/>
  <c r="K124" i="6"/>
  <c r="K118" i="6"/>
  <c r="K115" i="6"/>
  <c r="K111" i="6"/>
  <c r="K107" i="6"/>
  <c r="K103" i="6"/>
  <c r="K99" i="6"/>
  <c r="K95" i="6"/>
  <c r="K119" i="6"/>
  <c r="K116" i="6"/>
  <c r="K112" i="6"/>
  <c r="K108" i="6"/>
  <c r="K104" i="6"/>
  <c r="K100" i="6"/>
  <c r="K96" i="6"/>
  <c r="K92" i="6"/>
  <c r="K113" i="6"/>
  <c r="K97" i="6"/>
  <c r="K128" i="6"/>
  <c r="K117" i="6"/>
  <c r="K101" i="6"/>
  <c r="K132" i="6"/>
  <c r="K105" i="6"/>
  <c r="K109" i="6"/>
  <c r="K93" i="6"/>
  <c r="M130" i="6"/>
  <c r="M126" i="6"/>
  <c r="M122" i="6"/>
  <c r="M131" i="6"/>
  <c r="M127" i="6"/>
  <c r="M123" i="6"/>
  <c r="M132" i="6"/>
  <c r="M128" i="6"/>
  <c r="M124" i="6"/>
  <c r="M118" i="6"/>
  <c r="M133" i="6"/>
  <c r="M115" i="6"/>
  <c r="M111" i="6"/>
  <c r="M107" i="6"/>
  <c r="M103" i="6"/>
  <c r="M99" i="6"/>
  <c r="M95" i="6"/>
  <c r="M125" i="6"/>
  <c r="M116" i="6"/>
  <c r="M112" i="6"/>
  <c r="M108" i="6"/>
  <c r="M104" i="6"/>
  <c r="M100" i="6"/>
  <c r="M96" i="6"/>
  <c r="M92" i="6"/>
  <c r="M119" i="6"/>
  <c r="M117" i="6"/>
  <c r="M113" i="6"/>
  <c r="M109" i="6"/>
  <c r="M105" i="6"/>
  <c r="M101" i="6"/>
  <c r="M97" i="6"/>
  <c r="M93" i="6"/>
  <c r="M129" i="6"/>
  <c r="M120" i="6"/>
  <c r="M106" i="6"/>
  <c r="M110" i="6"/>
  <c r="M94" i="6"/>
  <c r="M114" i="6"/>
  <c r="M98" i="6"/>
  <c r="M121" i="6"/>
  <c r="M102" i="6"/>
  <c r="C275" i="6"/>
  <c r="E275" i="6" s="1"/>
  <c r="B44" i="4"/>
  <c r="F44" i="4" s="1"/>
  <c r="D267" i="6"/>
  <c r="J267" i="6" s="1"/>
  <c r="Q6" i="3"/>
  <c r="H230" i="6"/>
  <c r="J160" i="6"/>
  <c r="I160" i="6"/>
  <c r="G56" i="6"/>
  <c r="H243" i="6"/>
  <c r="F69" i="6"/>
  <c r="E69" i="6"/>
  <c r="H257" i="6"/>
  <c r="E83" i="6"/>
  <c r="F83" i="6"/>
  <c r="C276" i="6"/>
  <c r="E276" i="6" s="1"/>
  <c r="B45" i="4"/>
  <c r="F45" i="4" s="1"/>
  <c r="H231" i="6"/>
  <c r="J161" i="6"/>
  <c r="I161" i="6"/>
  <c r="G57" i="6"/>
  <c r="H241" i="6"/>
  <c r="E67" i="6"/>
  <c r="F67" i="6"/>
  <c r="H251" i="6"/>
  <c r="F77" i="6"/>
  <c r="E77" i="6"/>
  <c r="H229" i="6"/>
  <c r="J159" i="6"/>
  <c r="I159" i="6"/>
  <c r="E68" i="5"/>
  <c r="G55" i="6"/>
  <c r="P3" i="3"/>
  <c r="O3" i="3"/>
  <c r="E264" i="6" s="1"/>
  <c r="K264" i="6" s="1"/>
  <c r="D265" i="6"/>
  <c r="J265" i="6" s="1"/>
  <c r="Q4" i="3"/>
  <c r="H240" i="6"/>
  <c r="F66" i="6"/>
  <c r="E66" i="6"/>
  <c r="C277" i="6"/>
  <c r="E277" i="6" s="1"/>
  <c r="B46" i="4"/>
  <c r="F46" i="4" s="1"/>
  <c r="O5" i="3"/>
  <c r="E266" i="6" s="1"/>
  <c r="K266" i="6" s="1"/>
  <c r="P5" i="3"/>
  <c r="H249" i="6"/>
  <c r="E75" i="6"/>
  <c r="F75" i="6"/>
  <c r="H245" i="6"/>
  <c r="E71" i="6"/>
  <c r="F71" i="6"/>
  <c r="H255" i="6"/>
  <c r="F81" i="6"/>
  <c r="E81" i="6"/>
  <c r="D259" i="6"/>
  <c r="O236" i="6"/>
  <c r="I236" i="6"/>
  <c r="L236" i="6" s="1"/>
  <c r="O244" i="6"/>
  <c r="I244" i="6"/>
  <c r="L244" i="6" s="1"/>
  <c r="F47" i="2"/>
  <c r="O2" i="3"/>
  <c r="E263" i="6" s="1"/>
  <c r="K263" i="6" s="1"/>
  <c r="O6" i="3"/>
  <c r="E267" i="6" s="1"/>
  <c r="K267" i="6" s="1"/>
  <c r="H42" i="5"/>
  <c r="S68" i="5"/>
  <c r="E62" i="6"/>
  <c r="E70" i="6"/>
  <c r="F73" i="6"/>
  <c r="L93" i="6"/>
  <c r="D105" i="6"/>
  <c r="H107" i="6"/>
  <c r="L109" i="6"/>
  <c r="H232" i="6"/>
  <c r="I162" i="6"/>
  <c r="J162" i="6"/>
  <c r="H132" i="6"/>
  <c r="H133" i="6"/>
  <c r="H129" i="6"/>
  <c r="H125" i="6"/>
  <c r="H121" i="6"/>
  <c r="H128" i="6"/>
  <c r="H119" i="6"/>
  <c r="H116" i="6"/>
  <c r="H112" i="6"/>
  <c r="H108" i="6"/>
  <c r="H104" i="6"/>
  <c r="H100" i="6"/>
  <c r="H96" i="6"/>
  <c r="H92" i="6"/>
  <c r="H122" i="6"/>
  <c r="H130" i="6"/>
  <c r="H117" i="6"/>
  <c r="H113" i="6"/>
  <c r="H109" i="6"/>
  <c r="H105" i="6"/>
  <c r="H101" i="6"/>
  <c r="H97" i="6"/>
  <c r="H93" i="6"/>
  <c r="H123" i="6"/>
  <c r="H124" i="6"/>
  <c r="H120" i="6"/>
  <c r="H118" i="6"/>
  <c r="H114" i="6"/>
  <c r="H110" i="6"/>
  <c r="H106" i="6"/>
  <c r="H102" i="6"/>
  <c r="H98" i="6"/>
  <c r="H94" i="6"/>
  <c r="H126" i="6"/>
  <c r="B52" i="2"/>
  <c r="F52" i="2" s="1"/>
  <c r="P2" i="3"/>
  <c r="C152" i="6"/>
  <c r="S34" i="5"/>
  <c r="F62" i="6"/>
  <c r="F70" i="6"/>
  <c r="E78" i="6"/>
  <c r="H127" i="6"/>
  <c r="G58" i="6"/>
  <c r="G85" i="6" s="1"/>
  <c r="F78" i="6"/>
  <c r="D101" i="6"/>
  <c r="H103" i="6"/>
  <c r="L105" i="6"/>
  <c r="O248" i="6"/>
  <c r="I248" i="6"/>
  <c r="L248" i="6" s="1"/>
  <c r="D130" i="6"/>
  <c r="D131" i="6"/>
  <c r="D127" i="6"/>
  <c r="D123" i="6"/>
  <c r="D119" i="6"/>
  <c r="D126" i="6"/>
  <c r="D118" i="6"/>
  <c r="D114" i="6"/>
  <c r="D110" i="6"/>
  <c r="D106" i="6"/>
  <c r="D102" i="6"/>
  <c r="D98" i="6"/>
  <c r="D94" i="6"/>
  <c r="D132" i="6"/>
  <c r="D128" i="6"/>
  <c r="D115" i="6"/>
  <c r="D111" i="6"/>
  <c r="D107" i="6"/>
  <c r="D103" i="6"/>
  <c r="D99" i="6"/>
  <c r="D95" i="6"/>
  <c r="D129" i="6"/>
  <c r="D121" i="6"/>
  <c r="D122" i="6"/>
  <c r="D116" i="6"/>
  <c r="D112" i="6"/>
  <c r="D108" i="6"/>
  <c r="D104" i="6"/>
  <c r="D100" i="6"/>
  <c r="D96" i="6"/>
  <c r="D92" i="6"/>
  <c r="D133" i="6"/>
  <c r="D124" i="6"/>
  <c r="L130" i="6"/>
  <c r="L131" i="6"/>
  <c r="L127" i="6"/>
  <c r="L123" i="6"/>
  <c r="L119" i="6"/>
  <c r="L122" i="6"/>
  <c r="L120" i="6"/>
  <c r="L114" i="6"/>
  <c r="L110" i="6"/>
  <c r="L106" i="6"/>
  <c r="L102" i="6"/>
  <c r="L98" i="6"/>
  <c r="L94" i="6"/>
  <c r="L124" i="6"/>
  <c r="L118" i="6"/>
  <c r="L133" i="6"/>
  <c r="L115" i="6"/>
  <c r="L111" i="6"/>
  <c r="L107" i="6"/>
  <c r="L103" i="6"/>
  <c r="L99" i="6"/>
  <c r="L95" i="6"/>
  <c r="L125" i="6"/>
  <c r="L126" i="6"/>
  <c r="L116" i="6"/>
  <c r="L112" i="6"/>
  <c r="L108" i="6"/>
  <c r="L104" i="6"/>
  <c r="L100" i="6"/>
  <c r="L96" i="6"/>
  <c r="L92" i="6"/>
  <c r="L128" i="6"/>
  <c r="D120" i="6"/>
  <c r="M217" i="6"/>
  <c r="M209" i="6"/>
  <c r="M218" i="6"/>
  <c r="M210" i="6"/>
  <c r="M219" i="6"/>
  <c r="M211" i="6"/>
  <c r="M220" i="6"/>
  <c r="M212" i="6"/>
  <c r="M222" i="6"/>
  <c r="M214" i="6"/>
  <c r="M223" i="6"/>
  <c r="M205" i="6"/>
  <c r="M197" i="6"/>
  <c r="M208" i="6"/>
  <c r="M198" i="6"/>
  <c r="M216" i="6"/>
  <c r="M213" i="6"/>
  <c r="M206" i="6"/>
  <c r="M199" i="6"/>
  <c r="M200" i="6"/>
  <c r="M201" i="6"/>
  <c r="M207" i="6"/>
  <c r="M202" i="6"/>
  <c r="M203" i="6"/>
  <c r="M196" i="6"/>
  <c r="M215" i="6"/>
  <c r="M194" i="6"/>
  <c r="M221" i="6"/>
  <c r="B9" i="2"/>
  <c r="F9" i="2" s="1"/>
  <c r="B21" i="2"/>
  <c r="F21" i="2" s="1"/>
  <c r="O4" i="3"/>
  <c r="E265" i="6" s="1"/>
  <c r="K265" i="6" s="1"/>
  <c r="H38" i="5"/>
  <c r="C13" i="6"/>
  <c r="D97" i="6"/>
  <c r="H99" i="6"/>
  <c r="L101" i="6"/>
  <c r="D113" i="6"/>
  <c r="H115" i="6"/>
  <c r="L117" i="6"/>
  <c r="D223" i="6"/>
  <c r="D216" i="6"/>
  <c r="D208" i="6"/>
  <c r="D217" i="6"/>
  <c r="D218" i="6"/>
  <c r="P218" i="6" s="1"/>
  <c r="M253" i="6" s="1"/>
  <c r="D210" i="6"/>
  <c r="D219" i="6"/>
  <c r="D211" i="6"/>
  <c r="D221" i="6"/>
  <c r="D213" i="6"/>
  <c r="D222" i="6"/>
  <c r="D214" i="6"/>
  <c r="D204" i="6"/>
  <c r="P204" i="6" s="1"/>
  <c r="M239" i="6" s="1"/>
  <c r="D196" i="6"/>
  <c r="P196" i="6" s="1"/>
  <c r="M231" i="6" s="1"/>
  <c r="D205" i="6"/>
  <c r="D197" i="6"/>
  <c r="D220" i="6"/>
  <c r="D206" i="6"/>
  <c r="D198" i="6"/>
  <c r="D215" i="6"/>
  <c r="D212" i="6"/>
  <c r="D199" i="6"/>
  <c r="D200" i="6"/>
  <c r="D209" i="6"/>
  <c r="D207" i="6"/>
  <c r="D201" i="6"/>
  <c r="D202" i="6"/>
  <c r="D194" i="6"/>
  <c r="D195" i="6"/>
  <c r="D203" i="6"/>
  <c r="N218" i="6"/>
  <c r="N210" i="6"/>
  <c r="N219" i="6"/>
  <c r="N211" i="6"/>
  <c r="N220" i="6"/>
  <c r="N212" i="6"/>
  <c r="N221" i="6"/>
  <c r="N213" i="6"/>
  <c r="N223" i="6"/>
  <c r="N215" i="6"/>
  <c r="N208" i="6"/>
  <c r="N198" i="6"/>
  <c r="N216" i="6"/>
  <c r="N209" i="6"/>
  <c r="N206" i="6"/>
  <c r="N199" i="6"/>
  <c r="N200" i="6"/>
  <c r="N201" i="6"/>
  <c r="N217" i="6"/>
  <c r="N214" i="6"/>
  <c r="N207" i="6"/>
  <c r="N202" i="6"/>
  <c r="N194" i="6"/>
  <c r="N222" i="6"/>
  <c r="N203" i="6"/>
  <c r="N205" i="6"/>
  <c r="N196" i="6"/>
  <c r="N197" i="6"/>
  <c r="N204" i="6"/>
  <c r="M195" i="6"/>
  <c r="O252" i="6"/>
  <c r="I252" i="6"/>
  <c r="L252" i="6" s="1"/>
  <c r="G43" i="5"/>
  <c r="E74" i="6"/>
  <c r="D125" i="6"/>
  <c r="L129" i="6"/>
  <c r="N195" i="6"/>
  <c r="C283" i="6"/>
  <c r="D279" i="6"/>
  <c r="F279" i="6" s="1"/>
  <c r="D280" i="6"/>
  <c r="F280" i="6" s="1"/>
  <c r="B34" i="4"/>
  <c r="F34" i="4" s="1"/>
  <c r="B50" i="4"/>
  <c r="F50" i="4" s="1"/>
  <c r="S18" i="5"/>
  <c r="I247" i="6"/>
  <c r="L247" i="6" s="1"/>
  <c r="O247" i="6"/>
  <c r="F74" i="6"/>
  <c r="D93" i="6"/>
  <c r="H95" i="6"/>
  <c r="L97" i="6"/>
  <c r="D109" i="6"/>
  <c r="H111" i="6"/>
  <c r="L113" i="6"/>
  <c r="E217" i="6"/>
  <c r="E209" i="6"/>
  <c r="E218" i="6"/>
  <c r="E210" i="6"/>
  <c r="E219" i="6"/>
  <c r="E211" i="6"/>
  <c r="E220" i="6"/>
  <c r="E212" i="6"/>
  <c r="E222" i="6"/>
  <c r="E214" i="6"/>
  <c r="E223" i="6"/>
  <c r="E221" i="6"/>
  <c r="E205" i="6"/>
  <c r="E197" i="6"/>
  <c r="E206" i="6"/>
  <c r="E198" i="6"/>
  <c r="E215" i="6"/>
  <c r="E199" i="6"/>
  <c r="E200" i="6"/>
  <c r="E207" i="6"/>
  <c r="E201" i="6"/>
  <c r="E216" i="6"/>
  <c r="P216" i="6" s="1"/>
  <c r="M251" i="6" s="1"/>
  <c r="E213" i="6"/>
  <c r="P213" i="6" s="1"/>
  <c r="M248" i="6" s="1"/>
  <c r="E202" i="6"/>
  <c r="E196" i="6"/>
  <c r="F218" i="6"/>
  <c r="F210" i="6"/>
  <c r="F219" i="6"/>
  <c r="F211" i="6"/>
  <c r="P211" i="6" s="1"/>
  <c r="M246" i="6" s="1"/>
  <c r="F220" i="6"/>
  <c r="F212" i="6"/>
  <c r="F221" i="6"/>
  <c r="F213" i="6"/>
  <c r="F223" i="6"/>
  <c r="F215" i="6"/>
  <c r="F206" i="6"/>
  <c r="F198" i="6"/>
  <c r="F199" i="6"/>
  <c r="F200" i="6"/>
  <c r="F207" i="6"/>
  <c r="F201" i="6"/>
  <c r="F216" i="6"/>
  <c r="F209" i="6"/>
  <c r="F202" i="6"/>
  <c r="P202" i="6" s="1"/>
  <c r="M237" i="6" s="1"/>
  <c r="F194" i="6"/>
  <c r="F224" i="6" s="1"/>
  <c r="F203" i="6"/>
  <c r="F196" i="6"/>
  <c r="E203" i="6"/>
  <c r="F205" i="6"/>
  <c r="F222" i="6"/>
  <c r="L203" i="6"/>
  <c r="E195" i="6"/>
  <c r="F195" i="6"/>
  <c r="E204" i="6"/>
  <c r="E208" i="6"/>
  <c r="F217" i="6"/>
  <c r="L223" i="6"/>
  <c r="L216" i="6"/>
  <c r="L208" i="6"/>
  <c r="L217" i="6"/>
  <c r="L209" i="6"/>
  <c r="L218" i="6"/>
  <c r="L210" i="6"/>
  <c r="L219" i="6"/>
  <c r="L211" i="6"/>
  <c r="L221" i="6"/>
  <c r="L213" i="6"/>
  <c r="L222" i="6"/>
  <c r="L215" i="6"/>
  <c r="L212" i="6"/>
  <c r="L204" i="6"/>
  <c r="L196" i="6"/>
  <c r="L220" i="6"/>
  <c r="L205" i="6"/>
  <c r="L197" i="6"/>
  <c r="L198" i="6"/>
  <c r="L206" i="6"/>
  <c r="L199" i="6"/>
  <c r="L200" i="6"/>
  <c r="L214" i="6"/>
  <c r="L201" i="6"/>
  <c r="E194" i="6"/>
  <c r="L195" i="6"/>
  <c r="L224" i="6" s="1"/>
  <c r="F204" i="6"/>
  <c r="F208" i="6"/>
  <c r="C219" i="6"/>
  <c r="P219" i="6" s="1"/>
  <c r="M254" i="6" s="1"/>
  <c r="E156" i="6"/>
  <c r="M156" i="6"/>
  <c r="G219" i="6"/>
  <c r="G211" i="6"/>
  <c r="G220" i="6"/>
  <c r="G212" i="6"/>
  <c r="G221" i="6"/>
  <c r="G213" i="6"/>
  <c r="G222" i="6"/>
  <c r="G214" i="6"/>
  <c r="G216" i="6"/>
  <c r="G195" i="6"/>
  <c r="H196" i="6"/>
  <c r="C199" i="6"/>
  <c r="P199" i="6" s="1"/>
  <c r="M234" i="6" s="1"/>
  <c r="K199" i="6"/>
  <c r="G203" i="6"/>
  <c r="H204" i="6"/>
  <c r="K206" i="6"/>
  <c r="H208" i="6"/>
  <c r="G223" i="6"/>
  <c r="F156" i="6"/>
  <c r="N156" i="6"/>
  <c r="H220" i="6"/>
  <c r="H212" i="6"/>
  <c r="H221" i="6"/>
  <c r="H213" i="6"/>
  <c r="H222" i="6"/>
  <c r="H214" i="6"/>
  <c r="P214" i="6" s="1"/>
  <c r="M249" i="6" s="1"/>
  <c r="H223" i="6"/>
  <c r="H215" i="6"/>
  <c r="H217" i="6"/>
  <c r="H209" i="6"/>
  <c r="H195" i="6"/>
  <c r="P195" i="6"/>
  <c r="M230" i="6" s="1"/>
  <c r="C198" i="6"/>
  <c r="K198" i="6"/>
  <c r="G202" i="6"/>
  <c r="H203" i="6"/>
  <c r="C206" i="6"/>
  <c r="G209" i="6"/>
  <c r="K213" i="6"/>
  <c r="H216" i="6"/>
  <c r="K219" i="6"/>
  <c r="G156" i="6"/>
  <c r="P222" i="6"/>
  <c r="M257" i="6" s="1"/>
  <c r="H194" i="6"/>
  <c r="C197" i="6"/>
  <c r="P197" i="6" s="1"/>
  <c r="M232" i="6" s="1"/>
  <c r="K197" i="6"/>
  <c r="G201" i="6"/>
  <c r="P201" i="6" s="1"/>
  <c r="M236" i="6" s="1"/>
  <c r="H202" i="6"/>
  <c r="C205" i="6"/>
  <c r="P205" i="6" s="1"/>
  <c r="M240" i="6" s="1"/>
  <c r="K205" i="6"/>
  <c r="G207" i="6"/>
  <c r="G224" i="6" s="1"/>
  <c r="K208" i="6"/>
  <c r="C196" i="6"/>
  <c r="K196" i="6"/>
  <c r="G200" i="6"/>
  <c r="H201" i="6"/>
  <c r="C204" i="6"/>
  <c r="H207" i="6"/>
  <c r="C211" i="6"/>
  <c r="G215" i="6"/>
  <c r="G218" i="6"/>
  <c r="C222" i="6"/>
  <c r="C223" i="6"/>
  <c r="P223" i="6" s="1"/>
  <c r="M258" i="6" s="1"/>
  <c r="C215" i="6"/>
  <c r="P215" i="6" s="1"/>
  <c r="M250" i="6" s="1"/>
  <c r="C207" i="6"/>
  <c r="P207" i="6" s="1"/>
  <c r="M242" i="6" s="1"/>
  <c r="C216" i="6"/>
  <c r="C217" i="6"/>
  <c r="P217" i="6" s="1"/>
  <c r="M252" i="6" s="1"/>
  <c r="C209" i="6"/>
  <c r="P209" i="6" s="1"/>
  <c r="M244" i="6" s="1"/>
  <c r="C218" i="6"/>
  <c r="C210" i="6"/>
  <c r="P210" i="6" s="1"/>
  <c r="M245" i="6" s="1"/>
  <c r="C220" i="6"/>
  <c r="P220" i="6" s="1"/>
  <c r="M255" i="6" s="1"/>
  <c r="C212" i="6"/>
  <c r="P212" i="6" s="1"/>
  <c r="M247" i="6" s="1"/>
  <c r="C221" i="6"/>
  <c r="P221" i="6" s="1"/>
  <c r="M256" i="6" s="1"/>
  <c r="K222" i="6"/>
  <c r="K223" i="6"/>
  <c r="K215" i="6"/>
  <c r="K207" i="6"/>
  <c r="K216" i="6"/>
  <c r="K217" i="6"/>
  <c r="K209" i="6"/>
  <c r="K218" i="6"/>
  <c r="K210" i="6"/>
  <c r="K220" i="6"/>
  <c r="K212" i="6"/>
  <c r="K221" i="6"/>
  <c r="C195" i="6"/>
  <c r="C224" i="6" s="1"/>
  <c r="K195" i="6"/>
  <c r="K224" i="6" s="1"/>
  <c r="G199" i="6"/>
  <c r="H200" i="6"/>
  <c r="P200" i="6" s="1"/>
  <c r="M235" i="6" s="1"/>
  <c r="C203" i="6"/>
  <c r="P203" i="6" s="1"/>
  <c r="M238" i="6" s="1"/>
  <c r="K203" i="6"/>
  <c r="C208" i="6"/>
  <c r="P208" i="6" s="1"/>
  <c r="M243" i="6" s="1"/>
  <c r="H211" i="6"/>
  <c r="H218" i="6"/>
  <c r="I122" i="6" l="1"/>
  <c r="N115" i="6"/>
  <c r="N124" i="6"/>
  <c r="N121" i="6"/>
  <c r="N224" i="6"/>
  <c r="G134" i="6"/>
  <c r="G135" i="6" s="1"/>
  <c r="P194" i="6"/>
  <c r="H134" i="6"/>
  <c r="H135" i="6" s="1"/>
  <c r="D264" i="6"/>
  <c r="J264" i="6" s="1"/>
  <c r="Q3" i="3"/>
  <c r="C26" i="2"/>
  <c r="O254" i="6"/>
  <c r="I254" i="6"/>
  <c r="L254" i="6" s="1"/>
  <c r="P7" i="3"/>
  <c r="O7" i="3"/>
  <c r="B8" i="2" s="1"/>
  <c r="F8" i="2" s="1"/>
  <c r="H224" i="6"/>
  <c r="H234" i="6"/>
  <c r="F60" i="6"/>
  <c r="G68" i="5"/>
  <c r="E60" i="6"/>
  <c r="N128" i="6" s="1"/>
  <c r="D224" i="6"/>
  <c r="D263" i="6"/>
  <c r="J263" i="6" s="1"/>
  <c r="Q2" i="3"/>
  <c r="C25" i="2"/>
  <c r="I245" i="6"/>
  <c r="L245" i="6" s="1"/>
  <c r="O245" i="6"/>
  <c r="I235" i="6"/>
  <c r="L235" i="6" s="1"/>
  <c r="O235" i="6"/>
  <c r="I253" i="6"/>
  <c r="L253" i="6" s="1"/>
  <c r="O253" i="6"/>
  <c r="J134" i="6"/>
  <c r="J135" i="6" s="1"/>
  <c r="F134" i="6"/>
  <c r="F135" i="6" s="1"/>
  <c r="O258" i="6"/>
  <c r="I258" i="6"/>
  <c r="L258" i="6" s="1"/>
  <c r="P206" i="6"/>
  <c r="M241" i="6" s="1"/>
  <c r="D134" i="6"/>
  <c r="D135" i="6" s="1"/>
  <c r="O240" i="6"/>
  <c r="I240" i="6"/>
  <c r="L240" i="6" s="1"/>
  <c r="I189" i="6"/>
  <c r="I241" i="6"/>
  <c r="L241" i="6" s="1"/>
  <c r="O241" i="6"/>
  <c r="M134" i="6"/>
  <c r="M135" i="6" s="1"/>
  <c r="E134" i="6"/>
  <c r="E135" i="6" s="1"/>
  <c r="O246" i="6"/>
  <c r="I246" i="6"/>
  <c r="L246" i="6" s="1"/>
  <c r="I233" i="6"/>
  <c r="L233" i="6" s="1"/>
  <c r="O233" i="6"/>
  <c r="E224" i="6"/>
  <c r="I243" i="6"/>
  <c r="L243" i="6" s="1"/>
  <c r="O243" i="6"/>
  <c r="S69" i="5"/>
  <c r="I249" i="6"/>
  <c r="L249" i="6" s="1"/>
  <c r="O249" i="6"/>
  <c r="C27" i="2"/>
  <c r="J189" i="6"/>
  <c r="O230" i="6"/>
  <c r="I230" i="6"/>
  <c r="L230" i="6" s="1"/>
  <c r="I239" i="6"/>
  <c r="L239" i="6" s="1"/>
  <c r="O239" i="6"/>
  <c r="O250" i="6"/>
  <c r="I250" i="6"/>
  <c r="L250" i="6" s="1"/>
  <c r="I251" i="6"/>
  <c r="L251" i="6" s="1"/>
  <c r="O251" i="6"/>
  <c r="L134" i="6"/>
  <c r="L135" i="6" s="1"/>
  <c r="M224" i="6"/>
  <c r="D266" i="6"/>
  <c r="J266" i="6" s="1"/>
  <c r="C28" i="2"/>
  <c r="Q5" i="3"/>
  <c r="I229" i="6"/>
  <c r="L229" i="6" s="1"/>
  <c r="C20" i="6" s="1"/>
  <c r="O229" i="6"/>
  <c r="C17" i="6"/>
  <c r="I257" i="6"/>
  <c r="L257" i="6" s="1"/>
  <c r="O257" i="6"/>
  <c r="K134" i="6"/>
  <c r="K135" i="6" s="1"/>
  <c r="C133" i="6"/>
  <c r="C129" i="6"/>
  <c r="C125" i="6"/>
  <c r="C130" i="6"/>
  <c r="C126" i="6"/>
  <c r="C122" i="6"/>
  <c r="C131" i="6"/>
  <c r="C127" i="6"/>
  <c r="C123" i="6"/>
  <c r="C120" i="6"/>
  <c r="C118" i="6"/>
  <c r="C114" i="6"/>
  <c r="C110" i="6"/>
  <c r="C106" i="6"/>
  <c r="C102" i="6"/>
  <c r="C98" i="6"/>
  <c r="C94" i="6"/>
  <c r="C132" i="6"/>
  <c r="C128" i="6"/>
  <c r="C115" i="6"/>
  <c r="C111" i="6"/>
  <c r="C107" i="6"/>
  <c r="C103" i="6"/>
  <c r="C99" i="6"/>
  <c r="C95" i="6"/>
  <c r="C121" i="6"/>
  <c r="C119" i="6"/>
  <c r="C116" i="6"/>
  <c r="C112" i="6"/>
  <c r="C108" i="6"/>
  <c r="C104" i="6"/>
  <c r="C100" i="6"/>
  <c r="C96" i="6"/>
  <c r="C92" i="6"/>
  <c r="C109" i="6"/>
  <c r="C93" i="6"/>
  <c r="C124" i="6"/>
  <c r="C113" i="6"/>
  <c r="C97" i="6"/>
  <c r="C117" i="6"/>
  <c r="C101" i="6"/>
  <c r="C105" i="6"/>
  <c r="O232" i="6"/>
  <c r="I232" i="6"/>
  <c r="L232" i="6" s="1"/>
  <c r="P198" i="6"/>
  <c r="M233" i="6" s="1"/>
  <c r="I255" i="6"/>
  <c r="L255" i="6" s="1"/>
  <c r="O255" i="6"/>
  <c r="C29" i="2"/>
  <c r="O238" i="6"/>
  <c r="I238" i="6"/>
  <c r="L238" i="6" s="1"/>
  <c r="O256" i="6"/>
  <c r="I256" i="6"/>
  <c r="L256" i="6" s="1"/>
  <c r="C278" i="6"/>
  <c r="E278" i="6" s="1"/>
  <c r="B47" i="4"/>
  <c r="F47" i="4" s="1"/>
  <c r="I231" i="6"/>
  <c r="L231" i="6" s="1"/>
  <c r="O231" i="6"/>
  <c r="F30" i="2"/>
  <c r="I237" i="6"/>
  <c r="L237" i="6" s="1"/>
  <c r="O237" i="6"/>
  <c r="O242" i="6"/>
  <c r="I242" i="6"/>
  <c r="L242" i="6" s="1"/>
  <c r="I93" i="6" l="1"/>
  <c r="I98" i="6"/>
  <c r="I95" i="6"/>
  <c r="I128" i="6"/>
  <c r="I94" i="6"/>
  <c r="I104" i="6"/>
  <c r="I100" i="6"/>
  <c r="I119" i="6"/>
  <c r="I117" i="6"/>
  <c r="I131" i="6"/>
  <c r="O131" i="6" s="1"/>
  <c r="E256" i="6" s="1"/>
  <c r="G256" i="6" s="1"/>
  <c r="N256" i="6" s="1"/>
  <c r="I108" i="6"/>
  <c r="O108" i="6" s="1"/>
  <c r="E233" i="6" s="1"/>
  <c r="G233" i="6" s="1"/>
  <c r="N233" i="6" s="1"/>
  <c r="I105" i="6"/>
  <c r="I133" i="6"/>
  <c r="I113" i="6"/>
  <c r="O113" i="6" s="1"/>
  <c r="E238" i="6" s="1"/>
  <c r="G238" i="6" s="1"/>
  <c r="N238" i="6" s="1"/>
  <c r="I92" i="6"/>
  <c r="I125" i="6"/>
  <c r="I129" i="6"/>
  <c r="I109" i="6"/>
  <c r="I114" i="6"/>
  <c r="O114" i="6" s="1"/>
  <c r="E239" i="6" s="1"/>
  <c r="G239" i="6" s="1"/>
  <c r="N239" i="6" s="1"/>
  <c r="F85" i="6"/>
  <c r="I107" i="6"/>
  <c r="O107" i="6" s="1"/>
  <c r="E232" i="6" s="1"/>
  <c r="G232" i="6" s="1"/>
  <c r="N232" i="6" s="1"/>
  <c r="I101" i="6"/>
  <c r="I106" i="6"/>
  <c r="O106" i="6" s="1"/>
  <c r="E231" i="6" s="1"/>
  <c r="G231" i="6" s="1"/>
  <c r="N231" i="6" s="1"/>
  <c r="I103" i="6"/>
  <c r="I112" i="6"/>
  <c r="O112" i="6" s="1"/>
  <c r="E237" i="6" s="1"/>
  <c r="G237" i="6" s="1"/>
  <c r="N237" i="6" s="1"/>
  <c r="I97" i="6"/>
  <c r="I99" i="6"/>
  <c r="I130" i="6"/>
  <c r="I102" i="6"/>
  <c r="I96" i="6"/>
  <c r="N118" i="6"/>
  <c r="N110" i="6"/>
  <c r="N111" i="6"/>
  <c r="N126" i="6"/>
  <c r="O126" i="6"/>
  <c r="E251" i="6" s="1"/>
  <c r="G251" i="6" s="1"/>
  <c r="N251" i="6" s="1"/>
  <c r="J221" i="6"/>
  <c r="J222" i="6"/>
  <c r="J214" i="6"/>
  <c r="J206" i="6"/>
  <c r="J223" i="6"/>
  <c r="J215" i="6"/>
  <c r="J216" i="6"/>
  <c r="J208" i="6"/>
  <c r="J217" i="6"/>
  <c r="J209" i="6"/>
  <c r="J219" i="6"/>
  <c r="J211" i="6"/>
  <c r="J220" i="6"/>
  <c r="J202" i="6"/>
  <c r="J194" i="6"/>
  <c r="J212" i="6"/>
  <c r="J203" i="6"/>
  <c r="J195" i="6"/>
  <c r="J204" i="6"/>
  <c r="J196" i="6"/>
  <c r="J205" i="6"/>
  <c r="J197" i="6"/>
  <c r="J213" i="6"/>
  <c r="J210" i="6"/>
  <c r="J198" i="6"/>
  <c r="J199" i="6"/>
  <c r="J207" i="6"/>
  <c r="J201" i="6"/>
  <c r="J218" i="6"/>
  <c r="J200" i="6"/>
  <c r="O234" i="6"/>
  <c r="I234" i="6"/>
  <c r="L234" i="6" s="1"/>
  <c r="N130" i="6"/>
  <c r="I115" i="6"/>
  <c r="O115" i="6" s="1"/>
  <c r="E240" i="6" s="1"/>
  <c r="G240" i="6" s="1"/>
  <c r="N240" i="6" s="1"/>
  <c r="I111" i="6"/>
  <c r="O111" i="6" s="1"/>
  <c r="E236" i="6" s="1"/>
  <c r="G236" i="6" s="1"/>
  <c r="N236" i="6" s="1"/>
  <c r="I127" i="6"/>
  <c r="I123" i="6"/>
  <c r="N119" i="6"/>
  <c r="O119" i="6" s="1"/>
  <c r="E244" i="6" s="1"/>
  <c r="I220" i="6"/>
  <c r="O220" i="6" s="1"/>
  <c r="F255" i="6" s="1"/>
  <c r="I221" i="6"/>
  <c r="O221" i="6" s="1"/>
  <c r="F256" i="6" s="1"/>
  <c r="I213" i="6"/>
  <c r="O213" i="6" s="1"/>
  <c r="F248" i="6" s="1"/>
  <c r="I222" i="6"/>
  <c r="O222" i="6" s="1"/>
  <c r="F257" i="6" s="1"/>
  <c r="I214" i="6"/>
  <c r="I223" i="6"/>
  <c r="O223" i="6" s="1"/>
  <c r="F258" i="6" s="1"/>
  <c r="I215" i="6"/>
  <c r="O215" i="6" s="1"/>
  <c r="F250" i="6" s="1"/>
  <c r="I216" i="6"/>
  <c r="O216" i="6" s="1"/>
  <c r="F251" i="6" s="1"/>
  <c r="I218" i="6"/>
  <c r="O218" i="6" s="1"/>
  <c r="F253" i="6" s="1"/>
  <c r="I210" i="6"/>
  <c r="I219" i="6"/>
  <c r="I207" i="6"/>
  <c r="O207" i="6" s="1"/>
  <c r="F242" i="6" s="1"/>
  <c r="I201" i="6"/>
  <c r="O201" i="6" s="1"/>
  <c r="F236" i="6" s="1"/>
  <c r="I202" i="6"/>
  <c r="O202" i="6" s="1"/>
  <c r="F237" i="6" s="1"/>
  <c r="I194" i="6"/>
  <c r="I212" i="6"/>
  <c r="I209" i="6"/>
  <c r="I203" i="6"/>
  <c r="O203" i="6" s="1"/>
  <c r="F238" i="6" s="1"/>
  <c r="I195" i="6"/>
  <c r="I208" i="6"/>
  <c r="O208" i="6" s="1"/>
  <c r="F243" i="6" s="1"/>
  <c r="I204" i="6"/>
  <c r="O204" i="6" s="1"/>
  <c r="F239" i="6" s="1"/>
  <c r="I196" i="6"/>
  <c r="O196" i="6" s="1"/>
  <c r="F231" i="6" s="1"/>
  <c r="I205" i="6"/>
  <c r="O205" i="6" s="1"/>
  <c r="F240" i="6" s="1"/>
  <c r="I197" i="6"/>
  <c r="O197" i="6" s="1"/>
  <c r="F232" i="6" s="1"/>
  <c r="I217" i="6"/>
  <c r="O217" i="6" s="1"/>
  <c r="F252" i="6" s="1"/>
  <c r="I206" i="6"/>
  <c r="I198" i="6"/>
  <c r="O198" i="6" s="1"/>
  <c r="F233" i="6" s="1"/>
  <c r="I200" i="6"/>
  <c r="O200" i="6" s="1"/>
  <c r="F235" i="6" s="1"/>
  <c r="I211" i="6"/>
  <c r="O211" i="6" s="1"/>
  <c r="F246" i="6" s="1"/>
  <c r="I199" i="6"/>
  <c r="O199" i="6" s="1"/>
  <c r="F234" i="6" s="1"/>
  <c r="O128" i="6"/>
  <c r="E253" i="6" s="1"/>
  <c r="G253" i="6" s="1"/>
  <c r="N253" i="6" s="1"/>
  <c r="M229" i="6"/>
  <c r="M259" i="6" s="1"/>
  <c r="P224" i="6"/>
  <c r="N114" i="6"/>
  <c r="N120" i="6"/>
  <c r="I126" i="6"/>
  <c r="O130" i="6"/>
  <c r="E255" i="6" s="1"/>
  <c r="G255" i="6" s="1"/>
  <c r="N255" i="6" s="1"/>
  <c r="C134" i="6"/>
  <c r="C135" i="6" s="1"/>
  <c r="O121" i="6"/>
  <c r="E246" i="6" s="1"/>
  <c r="G246" i="6" s="1"/>
  <c r="N246" i="6" s="1"/>
  <c r="Q7" i="3"/>
  <c r="T7" i="3" s="1"/>
  <c r="B7" i="2"/>
  <c r="F7" i="2" s="1"/>
  <c r="N132" i="6"/>
  <c r="I124" i="6"/>
  <c r="O124" i="6" s="1"/>
  <c r="E249" i="6" s="1"/>
  <c r="N125" i="6"/>
  <c r="O125" i="6" s="1"/>
  <c r="E250" i="6" s="1"/>
  <c r="G250" i="6" s="1"/>
  <c r="N250" i="6" s="1"/>
  <c r="N123" i="6"/>
  <c r="O96" i="6"/>
  <c r="D144" i="6" s="1"/>
  <c r="E144" i="6" s="1"/>
  <c r="G158" i="6" s="1"/>
  <c r="G225" i="6" s="1"/>
  <c r="O94" i="6"/>
  <c r="D142" i="6" s="1"/>
  <c r="E142" i="6" s="1"/>
  <c r="E158" i="6" s="1"/>
  <c r="E225" i="6" s="1"/>
  <c r="O123" i="6"/>
  <c r="E248" i="6" s="1"/>
  <c r="G248" i="6" s="1"/>
  <c r="N248" i="6" s="1"/>
  <c r="O133" i="6"/>
  <c r="E258" i="6" s="1"/>
  <c r="G258" i="6" s="1"/>
  <c r="N258" i="6" s="1"/>
  <c r="C279" i="6"/>
  <c r="E279" i="6" s="1"/>
  <c r="B49" i="4"/>
  <c r="F49" i="4" s="1"/>
  <c r="I116" i="6"/>
  <c r="O116" i="6" s="1"/>
  <c r="E241" i="6" s="1"/>
  <c r="I132" i="6"/>
  <c r="O132" i="6" s="1"/>
  <c r="E257" i="6" s="1"/>
  <c r="G257" i="6" s="1"/>
  <c r="N257" i="6" s="1"/>
  <c r="O117" i="6"/>
  <c r="E242" i="6" s="1"/>
  <c r="O100" i="6"/>
  <c r="D148" i="6" s="1"/>
  <c r="E148" i="6" s="1"/>
  <c r="K158" i="6" s="1"/>
  <c r="K225" i="6" s="1"/>
  <c r="N99" i="6"/>
  <c r="O99" i="6" s="1"/>
  <c r="D147" i="6" s="1"/>
  <c r="E147" i="6" s="1"/>
  <c r="J158" i="6" s="1"/>
  <c r="N100" i="6"/>
  <c r="N109" i="6"/>
  <c r="O109" i="6" s="1"/>
  <c r="E234" i="6" s="1"/>
  <c r="G234" i="6" s="1"/>
  <c r="N234" i="6" s="1"/>
  <c r="N95" i="6"/>
  <c r="O95" i="6" s="1"/>
  <c r="D143" i="6" s="1"/>
  <c r="E143" i="6" s="1"/>
  <c r="F158" i="6" s="1"/>
  <c r="F225" i="6" s="1"/>
  <c r="N96" i="6"/>
  <c r="N105" i="6"/>
  <c r="O105" i="6" s="1"/>
  <c r="E230" i="6" s="1"/>
  <c r="N94" i="6"/>
  <c r="N131" i="6"/>
  <c r="N102" i="6"/>
  <c r="O102" i="6" s="1"/>
  <c r="D150" i="6" s="1"/>
  <c r="E150" i="6" s="1"/>
  <c r="M158" i="6" s="1"/>
  <c r="M225" i="6" s="1"/>
  <c r="N133" i="6"/>
  <c r="N92" i="6"/>
  <c r="N101" i="6"/>
  <c r="O101" i="6" s="1"/>
  <c r="D149" i="6" s="1"/>
  <c r="E149" i="6" s="1"/>
  <c r="L158" i="6" s="1"/>
  <c r="L225" i="6" s="1"/>
  <c r="E85" i="6"/>
  <c r="N127" i="6"/>
  <c r="O127" i="6" s="1"/>
  <c r="E252" i="6" s="1"/>
  <c r="G252" i="6" s="1"/>
  <c r="N252" i="6" s="1"/>
  <c r="N97" i="6"/>
  <c r="O97" i="6" s="1"/>
  <c r="D145" i="6" s="1"/>
  <c r="E145" i="6" s="1"/>
  <c r="H158" i="6" s="1"/>
  <c r="H225" i="6" s="1"/>
  <c r="N98" i="6"/>
  <c r="O98" i="6" s="1"/>
  <c r="D146" i="6" s="1"/>
  <c r="E146" i="6" s="1"/>
  <c r="I158" i="6" s="1"/>
  <c r="N112" i="6"/>
  <c r="N93" i="6"/>
  <c r="O93" i="6" s="1"/>
  <c r="D141" i="6" s="1"/>
  <c r="E141" i="6" s="1"/>
  <c r="D158" i="6" s="1"/>
  <c r="D225" i="6" s="1"/>
  <c r="N122" i="6"/>
  <c r="O122" i="6" s="1"/>
  <c r="E247" i="6" s="1"/>
  <c r="N129" i="6"/>
  <c r="O129" i="6" s="1"/>
  <c r="E254" i="6" s="1"/>
  <c r="N107" i="6"/>
  <c r="N108" i="6"/>
  <c r="N117" i="6"/>
  <c r="N104" i="6"/>
  <c r="O104" i="6" s="1"/>
  <c r="E229" i="6" s="1"/>
  <c r="N113" i="6"/>
  <c r="N103" i="6"/>
  <c r="O103" i="6" s="1"/>
  <c r="D151" i="6" s="1"/>
  <c r="E151" i="6" s="1"/>
  <c r="N158" i="6" s="1"/>
  <c r="N225" i="6" s="1"/>
  <c r="N106" i="6"/>
  <c r="I118" i="6"/>
  <c r="O118" i="6" s="1"/>
  <c r="E243" i="6" s="1"/>
  <c r="G243" i="6" s="1"/>
  <c r="N243" i="6" s="1"/>
  <c r="I110" i="6"/>
  <c r="O110" i="6" s="1"/>
  <c r="E235" i="6" s="1"/>
  <c r="G235" i="6" s="1"/>
  <c r="N235" i="6" s="1"/>
  <c r="N116" i="6"/>
  <c r="I120" i="6"/>
  <c r="O120" i="6" s="1"/>
  <c r="E245" i="6" s="1"/>
  <c r="I121" i="6"/>
  <c r="E259" i="6" l="1"/>
  <c r="C14" i="6"/>
  <c r="G241" i="6"/>
  <c r="N241" i="6" s="1"/>
  <c r="N134" i="6"/>
  <c r="N135" i="6" s="1"/>
  <c r="O214" i="6"/>
  <c r="F249" i="6" s="1"/>
  <c r="G249" i="6" s="1"/>
  <c r="N249" i="6" s="1"/>
  <c r="O195" i="6"/>
  <c r="F230" i="6" s="1"/>
  <c r="G230" i="6" s="1"/>
  <c r="N230" i="6" s="1"/>
  <c r="O219" i="6"/>
  <c r="F254" i="6" s="1"/>
  <c r="G254" i="6" s="1"/>
  <c r="N254" i="6" s="1"/>
  <c r="J224" i="6"/>
  <c r="J225" i="6" s="1"/>
  <c r="I134" i="6"/>
  <c r="I135" i="6" s="1"/>
  <c r="O206" i="6"/>
  <c r="F241" i="6" s="1"/>
  <c r="O210" i="6"/>
  <c r="F245" i="6" s="1"/>
  <c r="G245" i="6" s="1"/>
  <c r="N245" i="6" s="1"/>
  <c r="O209" i="6"/>
  <c r="F244" i="6" s="1"/>
  <c r="G244" i="6" s="1"/>
  <c r="N244" i="6" s="1"/>
  <c r="O212" i="6"/>
  <c r="F247" i="6" s="1"/>
  <c r="G247" i="6" s="1"/>
  <c r="N247" i="6" s="1"/>
  <c r="G242" i="6"/>
  <c r="N242" i="6" s="1"/>
  <c r="O92" i="6"/>
  <c r="I224" i="6"/>
  <c r="I225" i="6" s="1"/>
  <c r="O194" i="6"/>
  <c r="F229" i="6" l="1"/>
  <c r="O224" i="6"/>
  <c r="O134" i="6"/>
  <c r="D140" i="6"/>
  <c r="D152" i="6" l="1"/>
  <c r="E140" i="6"/>
  <c r="C281" i="6"/>
  <c r="E281" i="6" s="1"/>
  <c r="O135" i="6"/>
  <c r="F259" i="6"/>
  <c r="C15" i="6"/>
  <c r="C16" i="6" s="1"/>
  <c r="C18" i="6" s="1"/>
  <c r="G229" i="6"/>
  <c r="C158" i="6" l="1"/>
  <c r="C225" i="6" s="1"/>
  <c r="E152" i="6"/>
  <c r="G259" i="6"/>
  <c r="N229" i="6"/>
  <c r="N259" i="6" s="1"/>
  <c r="C280" i="6" s="1"/>
  <c r="E280" i="6" s="1"/>
</calcChain>
</file>

<file path=xl/sharedStrings.xml><?xml version="1.0" encoding="utf-8"?>
<sst xmlns="http://schemas.openxmlformats.org/spreadsheetml/2006/main" count="1143" uniqueCount="798">
  <si>
    <t>PANDUAN PENGISIAN TEMPLATE DATA COSTING RUMAH SAKIT</t>
  </si>
  <si>
    <t>Tujuan</t>
  </si>
  <si>
    <t>Mengumpulkan data biaya, pegawai, dan layanan rumah sakit untuk perhitungan unit cost per hari rawat (KRIS C, KRIS B, KRIS A, VIP, ICU), per kunjungan IGD, dan per layanan klinis.</t>
  </si>
  <si>
    <t>Siapa yang mengisi</t>
  </si>
  <si>
    <t>Satu tim per rumah sakit: bagian keuangan (LO dan biaya), SDM (pegawai), rekam medis atau SIMRS (volume), umum atau sarpras (luas lantai dan aset).</t>
  </si>
  <si>
    <t>Periode data</t>
  </si>
  <si>
    <t>Satu tahun penuh (1 Januari sampai 31 Desember). Semua sheet harus memakai tahun yang sama.</t>
  </si>
  <si>
    <t>Cara memakai</t>
  </si>
  <si>
    <t>Simpan salinan file dengan nama: Template_Costing_[NamaRS]_[Tahun].xlsx. Isi hanya sel berwarna krem. Sel abu muda berisi rumus dan terkunci. Isian kosong berarti belum diisi. Proteksi sheet tanpa password (Review, Unprotect Sheet) bila perlu membuka kunci.</t>
  </si>
  <si>
    <t>A. SIAPKAN DOKUMEN SUMBER</t>
  </si>
  <si>
    <t>Laporan Operasional (LO)</t>
  </si>
  <si>
    <t>LO tingkat satuan kerja untuk tahun data, lengkap pendapatan dan beban.</t>
  </si>
  <si>
    <t>Rincian biaya</t>
  </si>
  <si>
    <t>Buku besar atau laporan biaya: gaji, jasa pelayanan, persediaan, barang dan jasa, pemeliharaan, penyusutan.</t>
  </si>
  <si>
    <t>Daftar pegawai</t>
  </si>
  <si>
    <t>Daftar pegawai aktif per unit kerja dan per profesi pada akhir tahun data.</t>
  </si>
  <si>
    <t>Data SIMRS</t>
  </si>
  <si>
    <t>Kunjungan rawat jalan dan IGD, hari rawat, pasien pulang, dan volume penunjang (resep, tes, pemeriksaan).</t>
  </si>
  <si>
    <t>SK direktur dan sarpras</t>
  </si>
  <si>
    <t>Jumlah tempat tidur per kelas dan luas lantai setiap unit.</t>
  </si>
  <si>
    <t>Daftar aset</t>
  </si>
  <si>
    <t>Nilai perolehan alat dan gedung per unit untuk perhitungan penyusutan.</t>
  </si>
  <si>
    <t>B. URUTAN PENGISIAN</t>
  </si>
  <si>
    <t>Sheet 1</t>
  </si>
  <si>
    <t>Panduan Pengisian: baca dari atas sampai bawah.</t>
  </si>
  <si>
    <t>Sheet 2</t>
  </si>
  <si>
    <t>Data Dasar RS: identitas, SDM per profesi. Hasil lain terbaca otomatis.</t>
  </si>
  <si>
    <t>Sheet 3</t>
  </si>
  <si>
    <t>Data Operasional: tempat tidur, hari rawat, pasien pulang, kunjungan, volume penunjang.</t>
  </si>
  <si>
    <t>Sheet 4</t>
  </si>
  <si>
    <t>Data LO Lapkeu: pendapatan dan beban dari LO.</t>
  </si>
  <si>
    <t>Sheet 5</t>
  </si>
  <si>
    <t>Costing Template: staf, luas lantai, dan biaya untuk 54 pusat biaya.</t>
  </si>
  <si>
    <t>Sheet 6</t>
  </si>
  <si>
    <t>Rumus Perhitungan: hanya dibaca. Isi bobot pemakaian penunjang pada bagian 6. Hasil unit cost ada pada bagian 8.</t>
  </si>
  <si>
    <t>C. LANGKAH RINCI</t>
  </si>
  <si>
    <t>Langkah 1: Data Dasar RS</t>
  </si>
  <si>
    <t>Isi nama RS, tipe (A, B, C, D), kepemilikan, dan tahun data. Isi tabel SDM per profesi (baris 33 sampai 44) dengan jumlah orang. Jumlah SDM dokter, nakes, dan non nakes terisi otomatis. Isi identitas pengisi pada baris 64 sampai 70.</t>
  </si>
  <si>
    <t>Langkah 2: Tempat tidur</t>
  </si>
  <si>
    <t>Data Operasional kolom J baris 2 sampai 6: jumlah tempat tidur KRIS C, KRIS B, KRIS A, VIP, dan ICU. Contoh: SK direktur menyebut kelas 3 berjumlah 120 tempat tidur, tulis 120 pada KRIS C.</t>
  </si>
  <si>
    <t>Langkah 3: Hari rawat dan pasien pulang</t>
  </si>
  <si>
    <t>Data Operasional kolom D dan E baris 2 sampai 6: hari rawat JKN dan Non-JKN setahun per kelas. Kolom N: jumlah pasien pulang (hidup dan mati). BOR dan ALOS terhitung otomatis. Cek: BOR wajar 50 sampai 90 persen, ALOS 3 sampai 7 hari.</t>
  </si>
  <si>
    <t>Langkah 4: Kunjungan</t>
  </si>
  <si>
    <t>Data Operasional kolom B dan C baris 7 (IGD) dan baris 8 sampai 31 (24 layanan): kunjungan JKN dan Non-JKN setahun. Hemodialisis dimasukkan ke layanan Uronefro.</t>
  </si>
  <si>
    <t>Langkah 5: Volume penunjang</t>
  </si>
  <si>
    <t>Data Operasional blok Volume Penunjang Medis (kolom I sampai M): isi volume JKN dan Non-JKN untuk farmasi (lembar resep), radiologi (pemeriksaan), laboratorium (tes), dan seterusnya. Volume gizi terisi otomatis dari hari rawat.</t>
  </si>
  <si>
    <t>Langkah 6: Data LO Lapkeu</t>
  </si>
  <si>
    <t>Bagian I dan II: salin angka LO apa adanya. Bagian III: rincian beban untuk costing (gaji, jasa dokter, jasa lain, operasional lainnya, penyusutan alat, penyusutan gedung). Totalnya harus sama dengan total beban LO. Bagian IV: isi pendapatan fungsional JKN. Cek: selisih pada bagian III dan IV bernilai 0.</t>
  </si>
  <si>
    <t>Langkah 7: Costing Template bagian A (Overhead)</t>
  </si>
  <si>
    <t>Isi 12 pusat biaya penunjang umum: jumlah staf, biaya gaji, jasa medis, jasa medis lain, operasional, nilai alat, investasi gedung, dan luas lantai. Biaya gaji, jasa, dan operasional tiap unit dijumlahkan dari buku besar per unit kerja.</t>
  </si>
  <si>
    <t>Langkah 8: Costing Template bagian B (Penunjang medis)</t>
  </si>
  <si>
    <t>Isi 12 unit penunjang medis dengan cara yang sama seperti bagian A.</t>
  </si>
  <si>
    <t>Langkah 9: Costing Template bagian C (Layanan pasien)</t>
  </si>
  <si>
    <t>Isi 6 pusat biaya tetap (KRIS C, KRIS B, KRIS A, VIP, ICU, IGD) dan 24 layanan klinis. Kolom hari rawat, pasien pulang, dan kunjungan terbaca otomatis dari Data Operasional. Jumlah tempat tidur ditambahkan pada kolom I untuk kamar rawat inap.</t>
  </si>
  <si>
    <t>Langkah 10: Bobot pemakaian penunjang</t>
  </si>
  <si>
    <t>Rumus Perhitungan bagian 6: untuk setiap layanan, isi jumlah pemakaian tiap penunjang medis (contoh: jumlah resep, tes laboratorium, atau jam operasi yang dipakai layanan itu). Kosongkan bila tidak memakai. Gizi dan laundry terisi otomatis dari hari rawat.</t>
  </si>
  <si>
    <t>Langkah 11: Rekonsiliasi</t>
  </si>
  <si>
    <t>Costing Template sel S69 harus sama dengan total beban LO. Rumus Perhitungan bagian 10 menampilkan status BALANCE bila selisih paling banyak Rp1.000.</t>
  </si>
  <si>
    <t>Langkah 12: Baca hasil</t>
  </si>
  <si>
    <t>Rumus Perhitungan bagian 8: unit cost per pusat kamar dan layanan. Bagian 9: uji kewajaran BOR, ALOS, staf per tempat tidur. Status akhir harus SEMUA OK.</t>
  </si>
  <si>
    <t>D. MEMILIH DASAR ALOKASI (COSTING TEMPLATE KOLOM C)</t>
  </si>
  <si>
    <t>jumlah_staf</t>
  </si>
  <si>
    <t>Unit yang melayani seluruh pegawai: manajemen, komite, TI, pendidikan, bahan habis pakai non medis.</t>
  </si>
  <si>
    <t>luas_lantai</t>
  </si>
  <si>
    <t>Unit yang biayanya mengikuti luas bangunan: keamanan, kebersihan, listrik dan air, pajak, sewa.</t>
  </si>
  <si>
    <t>jumlah_kunjungan</t>
  </si>
  <si>
    <t>Unit yang melayani kunjungan rawat jalan dan IGD: parkir.</t>
  </si>
  <si>
    <t>jumlah_pasien</t>
  </si>
  <si>
    <t>Unit yang melayani pasien secara umum: customer service dan front office.</t>
  </si>
  <si>
    <t>hari_rawat</t>
  </si>
  <si>
    <t>Unit yang melayani pasien rawat inap: gizi, laundry, dan seluruh kamar rawat inap.</t>
  </si>
  <si>
    <t>E. PEMETAAN KELAS RAWAT KE PUSAT BIAYA</t>
  </si>
  <si>
    <t>Kelas 3</t>
  </si>
  <si>
    <t>KRIS C</t>
  </si>
  <si>
    <t>Kelas 2</t>
  </si>
  <si>
    <t>KRIS B</t>
  </si>
  <si>
    <t>Kelas 1</t>
  </si>
  <si>
    <t>KRIS A</t>
  </si>
  <si>
    <t>VIP, VVIP, Suite</t>
  </si>
  <si>
    <t>Kamar VIP/VVIP/Suite</t>
  </si>
  <si>
    <t>ICU, ICCU, NICU, PICU, HCU</t>
  </si>
  <si>
    <t>Kamar ICU/ICCU/NICU/PICU/HCU</t>
  </si>
  <si>
    <t>Ruang isolasi dan non kelas</t>
  </si>
  <si>
    <t>Gabungkan ke kelas dengan fasilitas yang paling mirip dan catat keputusan Anda pada kolom keterangan Data Dasar RS.</t>
  </si>
  <si>
    <t>F. PEMETAAN POLIKLINIK KE 24 LAYANAN (CONTOH)</t>
  </si>
  <si>
    <t>Penyakit Dalam</t>
  </si>
  <si>
    <t>Dibagi ke Pencernaan, Endokrin, Hematologi dan Onkologi Medik, Imunologi dan Reumatologi, Infeksi, Uronefro, Paru, Keracunan.</t>
  </si>
  <si>
    <t>Bedah</t>
  </si>
  <si>
    <t>Dibagi ke Neoplasma, Pencernaan, Uronefro, Saraf, Jantung, Trauma, Rekonstruksi, Luka Bakar.</t>
  </si>
  <si>
    <t>Anak</t>
  </si>
  <si>
    <t>Dibagi ke Neonatus dan layanan lain sesuai kasus.</t>
  </si>
  <si>
    <t>Obstetri dan Ginekologi</t>
  </si>
  <si>
    <t>Kesehatan Ibu dan Ginekologi.</t>
  </si>
  <si>
    <t>Radiasi dan Kedokteran Nuklir</t>
  </si>
  <si>
    <t>Neoplasma dan Myeloproliferative.</t>
  </si>
  <si>
    <t>Poliklinik lain</t>
  </si>
  <si>
    <t>Jantung, Saraf, THT, Mata, Kulit dan Kelamin, Gigi dan Mulut, Psikiatri (Jiwa), Orthopedi (Musculoskeletal), Rehabilitasi Medik masing-masing ke layanan sejenis.</t>
  </si>
  <si>
    <t>Prinsip</t>
  </si>
  <si>
    <t>Satu kunjungan hanya dihitung di satu layanan. Total seluruh layanan harus sama dengan total kunjungan poliklinik RS.</t>
  </si>
  <si>
    <t>G. ATURAN PENTING</t>
  </si>
  <si>
    <t>Satuan uang</t>
  </si>
  <si>
    <t>Rupiah penuh tanpa titik, koma, atau simbol Rp.</t>
  </si>
  <si>
    <t>Penyusutan</t>
  </si>
  <si>
    <t>Isi NILAI PEROLEHAN alat dan gedung. Penyusutan otomatis: alat dibagi 5 tahun, gedung dibagi 40 tahun.</t>
  </si>
  <si>
    <t>Jumlah staf</t>
  </si>
  <si>
    <t>Jumlah orang yang bertugas di unit pada akhir tahun. Satu orang dihitung di satu unit saja.</t>
  </si>
  <si>
    <t>Luas lantai</t>
  </si>
  <si>
    <t>Luas bangunan unit dalam meter persegi untuk semua pusat biaya.</t>
  </si>
  <si>
    <t>Biaya tidak boleh ganda</t>
  </si>
  <si>
    <t>Satu biaya hanya masuk ke satu pusat biaya. Biaya bersama masuk ke overhead.</t>
  </si>
  <si>
    <t>Nama unit</t>
  </si>
  <si>
    <t>Jangan mengubah nama atau urutan pusat biaya.</t>
  </si>
  <si>
    <t>Sel tanpa data</t>
  </si>
  <si>
    <t>Isi 0 jika memang tidak ada. Jangan menghapus baris atau kolom.</t>
  </si>
  <si>
    <t>H. WARNA SEL</t>
  </si>
  <si>
    <t>Krem, huruf biru</t>
  </si>
  <si>
    <t>Diisi manual.</t>
  </si>
  <si>
    <t>Abu muda</t>
  </si>
  <si>
    <t>Rumus otomatis dan terkunci.</t>
  </si>
  <si>
    <t>Biru tua</t>
  </si>
  <si>
    <t>Judul dan kepala tabel.</t>
  </si>
  <si>
    <t>I. CHECKLIST SEBELUM DIKIRIM</t>
  </si>
  <si>
    <t>Cek 1</t>
  </si>
  <si>
    <t>Nama RS, tipe, kepemilikan, dan tahun data terisi.</t>
  </si>
  <si>
    <t>Cek 2</t>
  </si>
  <si>
    <t>Total SDM Data Dasar RS sama dengan jumlah staf Costing Template.</t>
  </si>
  <si>
    <t>Cek 3</t>
  </si>
  <si>
    <t>BOR setiap kelas wajar dan ALOS 3 sampai 7 hari.</t>
  </si>
  <si>
    <t>Cek 4</t>
  </si>
  <si>
    <t>Total kunjungan 24 layanan sama dengan total kunjungan poliklinik RS.</t>
  </si>
  <si>
    <t>Cek 5</t>
  </si>
  <si>
    <t>IGD terisi lengkap: staf, luas lantai, biaya, dan kunjungan.</t>
  </si>
  <si>
    <t>Cek 6</t>
  </si>
  <si>
    <t>Data LO Lapkeu bagian III dan IV selisihnya 0.</t>
  </si>
  <si>
    <t>Cek 7</t>
  </si>
  <si>
    <t>Costing Template sel S69 sama dengan total beban LO.</t>
  </si>
  <si>
    <t>Cek 8</t>
  </si>
  <si>
    <t>Rumus Perhitungan bagian 10 berstatus BALANCE dan status akhir SEMUA OK.</t>
  </si>
  <si>
    <t>Cek 9</t>
  </si>
  <si>
    <t>Tidak ada sel berisi tulisan error (#DIV/0!, #REF!).</t>
  </si>
  <si>
    <t>J. MASALAH UMUM</t>
  </si>
  <si>
    <t>Status CEK pada BOR</t>
  </si>
  <si>
    <t>Periksa tempat tidur dan hari rawat. Hari rawat tidak boleh melebihi tempat tidur dikali 365.</t>
  </si>
  <si>
    <t>Total LO tidak balance</t>
  </si>
  <si>
    <t>Periksa rincian beban untuk costing: gaji, jasa, operasional, dan penyusutan harus berjumlah sama dengan total beban LO.</t>
  </si>
  <si>
    <t>Unit cost terlalu besar atau kecil</t>
  </si>
  <si>
    <t>Periksa volume (hari rawat atau kunjungan), satuan Rupiah penuh, dan bobot pemakaian penunjang.</t>
  </si>
  <si>
    <t>Hasil kosong</t>
  </si>
  <si>
    <t>Sel hasil kosong berarti data pendukungnya belum diisi.</t>
  </si>
  <si>
    <t>Tidak bisa mengetik di sel</t>
  </si>
  <si>
    <t>Sel terkunci berisi rumus. Isi hanya sel krem.</t>
  </si>
  <si>
    <t>K. ISTILAH</t>
  </si>
  <si>
    <t>Overhead</t>
  </si>
  <si>
    <t>Pusat biaya penunjang umum (manajemen, IT, kebersihan, listrik dan air).</t>
  </si>
  <si>
    <t>Intermediate</t>
  </si>
  <si>
    <t>Penunjang medis (farmasi, laboratorium, radiologi, bedah sentral, gizi, laundry).</t>
  </si>
  <si>
    <t>Final</t>
  </si>
  <si>
    <t>Pusat biaya layanan pasien: kamar rawat inap, IGD, dan poliklinik.</t>
  </si>
  <si>
    <t>BOR</t>
  </si>
  <si>
    <t>Bed Occupancy Rate: hari rawat dibagi (tempat tidur dikali 365).</t>
  </si>
  <si>
    <t>ALOS</t>
  </si>
  <si>
    <t>Average Length of Stay: hari rawat dibagi pasien pulang.</t>
  </si>
  <si>
    <t>Unit cost</t>
  </si>
  <si>
    <t>Biaya total pusat biaya dibagi volume layanan (hari rawat atau kunjungan).</t>
  </si>
  <si>
    <t>L. KOLOM DO DAN VALIDASI ISIAN (TAMBAHAN)</t>
  </si>
  <si>
    <t>Letak kolom DO</t>
  </si>
  <si>
    <t>Data Dasar RS: kolom D (DO), E (aturan), F (hasil). Data LO Lapkeu: kolom D, E, F. Data Operasional: kolom S dan T (hasil), tabel DO mulai baris 38. Costing Template: kolom T (hasil), tabel DO mulai baris 78.</t>
  </si>
  <si>
    <t>Petunjuk saat mengisi</t>
  </si>
  <si>
    <t>Klik sel krem, petunjuk isian muncul di dekat sel (apa yang diisi, satuan, dan batasnya). Bila muncul peringatan, isian ditolak atau perlu dikoreksi: baca pesannya, lalu isi ulang.</t>
  </si>
  <si>
    <t>Hasil: OK (hijau)</t>
  </si>
  <si>
    <t>Isian sudah lengkap dan sesuai aturan.</t>
  </si>
  <si>
    <t>Hasil: KOSONG (kuning)</t>
  </si>
  <si>
    <t>Belum diisi. Isi angka. Bila memang tidak ada, isi 0 (kosong tidak sama dengan 0).</t>
  </si>
  <si>
    <t>Hasil: BELUM LENGKAP (kuning)</t>
  </si>
  <si>
    <t>Sebagian sel pada baris atau blok itu masih kosong. Lengkapi semuanya.</t>
  </si>
  <si>
    <t>Hasil: CEK (merah)</t>
  </si>
  <si>
    <t>Isian melanggar aturan atau tampak tidak wajar (contoh: hari rawat melebihi tempat tidur × 365, total tidak sama dengan LO). Baca pesan, periksa data sumber, lalu perbaiki.</t>
  </si>
  <si>
    <t>Hasil: Menunggu (kuning)</t>
  </si>
  <si>
    <t>Sel otomatis belum terhitung karena data sumbernya belum diisi. Isi sheet yang disebut pada pesan.</t>
  </si>
  <si>
    <t>Rumus Perhitungan: Flag (F140:F151)</t>
  </si>
  <si>
    <t>1 = penunjang umum (biayanya dibagi ke seluruh layanan rawat inap). 0 = penunjang klinis (dibagi sesuai bobot pemakaian). Hanya boleh 0 atau 1. Nilai bawaan sudah diisi, ubah hanya bila ada keputusan tim.</t>
  </si>
  <si>
    <t>Rumus Perhitungan: Bobot (C159:N188)</t>
  </si>
  <si>
    <t>Jumlah pemakaian tiap penunjang medis oleh setiap layanan, dengan satuan yang sama dengan volume penunjang tersebut (resep, tes, jam operasi, dan seterusnya). Angka ≥ 0. Kosongkan bila layanan tidak memakai. Kolom Gizi dan Laundry terisi otomatis.</t>
  </si>
  <si>
    <t>Rumus Perhitungan: Target (J229:K232)</t>
  </si>
  <si>
    <t>Opsional. Batas bawah dan batas atas unit cost per hari rawat yang diharapkan, dalam Rupiah. Kosongkan bila tidak ada target.</t>
  </si>
  <si>
    <t>Rumus Perhitungan: Batas rasio (H263:I267, G270:H270)</t>
  </si>
  <si>
    <t>Batas wajar staf per tempat tidur (rawat inap) dan staf per 10 kunjungan IGD per hari. Angka ≥ 0, batas min lebih kecil dari batas max. Nilai bawaan boleh diubah bila ada acuan resmi.</t>
  </si>
  <si>
    <t>DATA DASAR RUMAH SAKIT</t>
  </si>
  <si>
    <t>NILAI</t>
  </si>
  <si>
    <t>Keterangan</t>
  </si>
  <si>
    <t>Definisi Operasional (DO)</t>
  </si>
  <si>
    <t>Aturan Validasi Isian</t>
  </si>
  <si>
    <t>Hasil Pemeriksaan</t>
  </si>
  <si>
    <t>Nama Rumah Sakit</t>
  </si>
  <si>
    <t>Nama resmi rumah sakit sesuai izin operasional atau SK penetapan. Tulis lengkap tanpa singkatan.</t>
  </si>
  <si>
    <t>Tipe RS</t>
  </si>
  <si>
    <t>A, B, C, atau D.</t>
  </si>
  <si>
    <t>Klasifikasi RS menurut Kemenkes berdasarkan fasilitas dan kemampuan layanan. Tipe A paling lengkap, D paling dasar.</t>
  </si>
  <si>
    <t>Wajib. Pilih dari daftar: A, B, C, atau D. Harus sama dengan Costing Template sel K2.</t>
  </si>
  <si>
    <t>Kepemilikan RS</t>
  </si>
  <si>
    <t>Pemerintah Pusat, Pemerintah Daerah, atau Swasta.</t>
  </si>
  <si>
    <t>Pihak yang memiliki dan menyelenggarakan RS (pemerintah pusat, pemerintah daerah, swasta, TNI/Polri, atau BUMN).</t>
  </si>
  <si>
    <t>Wajib. Pilih dari daftar. Harus sama dengan Costing Template sel N2.</t>
  </si>
  <si>
    <t>Tahun Data</t>
  </si>
  <si>
    <t>Sama dengan tahun pada Costing Template.</t>
  </si>
  <si>
    <t>Tahun data keuangan dan layanan yang dipakai, yaitu 1 Januari sampai 31 Desember tahun tersebut. Seluruh sheet memakai tahun yang sama.</t>
  </si>
  <si>
    <t>Wajib. Bilangan bulat 4 digit antara 2000 dan 2100. Harus sama dengan Costing Template sel B2. Contoh: 2025.</t>
  </si>
  <si>
    <t>BOR (%)</t>
  </si>
  <si>
    <t>Otomatis dari Data Operasional.</t>
  </si>
  <si>
    <t>BOR (Bed Occupancy Rate): persentase tempat tidur yang terpakai selama setahun. Rumus: hari rawat ÷ (tempat tidur × 365) × 100.</t>
  </si>
  <si>
    <t>Otomatis (terkunci). Jangan diisi.</t>
  </si>
  <si>
    <t>ALOS (hari)</t>
  </si>
  <si>
    <t>ALOS (Average Length of Stay): rata-rata lama pasien dirawat. Rumus: total hari rawat ÷ pasien pulang.</t>
  </si>
  <si>
    <t>Jumlah Tempat Tidur</t>
  </si>
  <si>
    <t>Total tempat tidur rawat inap semua kelas (KRIS C, B, A, VIP, ICU).</t>
  </si>
  <si>
    <t>Lama Hari Rawat JKN</t>
  </si>
  <si>
    <t>Otomatis.</t>
  </si>
  <si>
    <t>Total hari rawat pasien JKN setahun, semua kelas.</t>
  </si>
  <si>
    <t>Lama Hari Rawat Non JKN</t>
  </si>
  <si>
    <t>Total hari rawat pasien Non JKN setahun, semua kelas.</t>
  </si>
  <si>
    <t>Jumlah SDM Dokter</t>
  </si>
  <si>
    <t>Otomatis dari tabel SDM per profesi.</t>
  </si>
  <si>
    <t>Jumlah dokter spesialis ditambah dokter umum (orang).</t>
  </si>
  <si>
    <t>Jumlah SDM Nakes</t>
  </si>
  <si>
    <t>Jumlah tenaga kesehatan selain dokter: perawat, bidan, apoteker, analis, radiografer, terapis, ahli gizi, nakes lain (orang).</t>
  </si>
  <si>
    <t>Jumlah SDM Non Nakes</t>
  </si>
  <si>
    <t>Jumlah tenaga non-kesehatan: administrasi, keuangan, IT, keamanan, kebersihan, dan sejenisnya (orang).</t>
  </si>
  <si>
    <t>Biaya Gaji</t>
  </si>
  <si>
    <t>Dari Data LO Lapkeu bagian III.</t>
  </si>
  <si>
    <t>Gaji pokok dan tunjangan pegawai selama setahun (Rupiah).</t>
  </si>
  <si>
    <t>Biaya Jasa/Remunerasi</t>
  </si>
  <si>
    <t>Jasa dokter ditambah jasa staf lain.</t>
  </si>
  <si>
    <t>Jasa pelayanan dokter ditambah jasa pelayanan staf lain selama setahun (Rupiah).</t>
  </si>
  <si>
    <t>Biaya Operasional Lainnya</t>
  </si>
  <si>
    <t>Persediaan, barang dan jasa, pemeliharaan, perjalanan dinas, piutang.</t>
  </si>
  <si>
    <t>Biaya selain gaji, jasa, dan penyusutan: persediaan, barang dan jasa, pemeliharaan, perjalanan dinas, penyisihan piutang (Rupiah).</t>
  </si>
  <si>
    <t>Biaya Penyusutan</t>
  </si>
  <si>
    <t>Alat dan gedung.</t>
  </si>
  <si>
    <t>Penyusutan alat dan gedung selama setahun (Rupiah).</t>
  </si>
  <si>
    <t>Pendapatan Fungsional JKN</t>
  </si>
  <si>
    <t>Dari Data LO Lapkeu bagian IV.</t>
  </si>
  <si>
    <t>Pendapatan dari klaim JKN selama setahun (Rupiah).</t>
  </si>
  <si>
    <t>Pendapatan Fungsional Non JKN</t>
  </si>
  <si>
    <t>Pendapatan jasa layanan dari pasien dan penjamin selain JKN (Rupiah).</t>
  </si>
  <si>
    <t>Pendapatan Lainnya</t>
  </si>
  <si>
    <t>Pendapatan RS di luar jasa layanan pasien: sewa, parkir, kerja sama (Rupiah).</t>
  </si>
  <si>
    <t>Subsidi/Pendanaan Pemerintah</t>
  </si>
  <si>
    <t>APBN dan hibah.</t>
  </si>
  <si>
    <t>Dana dari pemerintah (alokasi APBN) dan hibah (Rupiah).</t>
  </si>
  <si>
    <t>TEMPAT TIDUR PER KELAS</t>
  </si>
  <si>
    <t>JUMLAH</t>
  </si>
  <si>
    <t>Kamar Rawat Inap Standar (KRIS) C</t>
  </si>
  <si>
    <t>Jumlah tempat tidur KRIS C (kelas 3 ditambah ruang isolasi).</t>
  </si>
  <si>
    <t>Kamar Rawat Inap Standar (KRIS) B</t>
  </si>
  <si>
    <t>Jumlah tempat tidur KRIS B (kelas 2).</t>
  </si>
  <si>
    <t>Kamar Rawat Inap Standar (KRIS) A</t>
  </si>
  <si>
    <t>Jumlah tempat tidur KRIS A (kelas 1).</t>
  </si>
  <si>
    <t>Jumlah tempat tidur kamar VIP, VVIP, dan Suite.</t>
  </si>
  <si>
    <t>Jumlah tempat tidur ruang intensif (ICU, ICCU, NICU, PICU, HCU).</t>
  </si>
  <si>
    <t>Total tempat tidur</t>
  </si>
  <si>
    <t>Total tempat tidur seluruh kelas.</t>
  </si>
  <si>
    <t>SDM PER PROFESI</t>
  </si>
  <si>
    <t>Dokter spesialis</t>
  </si>
  <si>
    <t>Dokter</t>
  </si>
  <si>
    <t>Jumlah dokter spesialis dan subspesialis (orang) yang aktif bertugas pada 31 Desember tahun data.</t>
  </si>
  <si>
    <t>Wajib. Bilangan bulat ≥ 0. Isi 0 bila tidak ada. Satu orang dihitung di satu baris saja.</t>
  </si>
  <si>
    <t>Dokter umum</t>
  </si>
  <si>
    <t>Jumlah dokter umum (orang) yang aktif pada 31 Desember tahun data. Dokter gigi umum dihitung di baris ini.</t>
  </si>
  <si>
    <t>Wajib. Bilangan bulat ≥ 0. Isi 0 bila tidak ada.</t>
  </si>
  <si>
    <t>Perawat</t>
  </si>
  <si>
    <t>Nakes</t>
  </si>
  <si>
    <t>Jumlah perawat vokasi dan ners (orang) yang aktif pada 31 Desember tahun data.</t>
  </si>
  <si>
    <t>Wajib. Bilangan bulat ≥ 0.</t>
  </si>
  <si>
    <t>Bidan</t>
  </si>
  <si>
    <t>Jumlah bidan (orang) yang aktif pada 31 Desember tahun data.</t>
  </si>
  <si>
    <t>Apoteker dan tenaga teknis kefarmasian</t>
  </si>
  <si>
    <t>Jumlah apoteker dan tenaga teknis kefarmasian (asisten apoteker), orang, pada 31 Desember tahun data.</t>
  </si>
  <si>
    <t>Analis laboratorium</t>
  </si>
  <si>
    <t>Jumlah analis kesehatan atau ATLM di laboratorium dan bank darah (orang).</t>
  </si>
  <si>
    <t>Radiografer</t>
  </si>
  <si>
    <t>Jumlah radiografer (orang).</t>
  </si>
  <si>
    <t>Fisioterapis dan terapis lain</t>
  </si>
  <si>
    <t>Jumlah fisioterapis, terapis okupasi, terapis wicara, dan terapis lain (orang).</t>
  </si>
  <si>
    <t>Ahli gizi</t>
  </si>
  <si>
    <t>Jumlah ahli gizi atau nutrisionis (orang).</t>
  </si>
  <si>
    <t>Nakes lain (penata anestesi, perekam medis)</t>
  </si>
  <si>
    <t>Jumlah tenaga kesehatan lain yang tidak masuk baris di atas: penata anestesi, perekam medis, sanitarian, elektromedis (orang).</t>
  </si>
  <si>
    <t>Tenaga non-kesehatan</t>
  </si>
  <si>
    <t>Non Nakes</t>
  </si>
  <si>
    <t>Jumlah pegawai non-kesehatan: administrasi, keuangan, IT, keamanan, kebersihan, dan sejenisnya (orang).</t>
  </si>
  <si>
    <t>Total SDM</t>
  </si>
  <si>
    <t>Total seluruh SDM. Harus sama dengan total Jumlah Staf pada Costing Template.</t>
  </si>
  <si>
    <t>PROFIL LAYANAN</t>
  </si>
  <si>
    <t>Kunjungan rawat jalan setahun (24 layanan)</t>
  </si>
  <si>
    <t>Poliklinik, hemodialisa, rehabilitasi.</t>
  </si>
  <si>
    <t>Jumlah kunjungan rawat jalan setahun dari 24 layanan klinis (JKN + Non JKN). Satu kunjungan dihitung satu kali.</t>
  </si>
  <si>
    <t>Kunjungan IGD setahun</t>
  </si>
  <si>
    <t>Seluruh kunjungan IGD.</t>
  </si>
  <si>
    <t>Jumlah kunjungan IGD setahun (JKN + Non JKN).</t>
  </si>
  <si>
    <t>Rata-rata kunjungan rawat jalan per hari (300 hari kerja)</t>
  </si>
  <si>
    <t>Poliklinik buka Senin sampai Sabtu.</t>
  </si>
  <si>
    <t>Kunjungan rawat jalan setahun dibagi 300 hari kerja.</t>
  </si>
  <si>
    <t>Rata-rata kunjungan IGD per hari (365 hari)</t>
  </si>
  <si>
    <t>IGD buka 24 jam.</t>
  </si>
  <si>
    <t>Kunjungan IGD setahun dibagi 365 hari.</t>
  </si>
  <si>
    <t>Rata-rata pasien pulang rawat inap per hari</t>
  </si>
  <si>
    <t>Seluruh kelas termasuk ICU.</t>
  </si>
  <si>
    <t>Pasien pulang rawat inap setahun dibagi 365 hari.</t>
  </si>
  <si>
    <t>Turnover interval (hari)</t>
  </si>
  <si>
    <t>Rata-rata hari tempat tidur kosong antar pasien.</t>
  </si>
  <si>
    <t>Turnover interval: rata-rata hari tempat tidur kosong di antara dua pasien. Rumus: (tempat tidur × 365 − hari rawat) ÷ pasien pulang.</t>
  </si>
  <si>
    <t>BTO (pasien per tempat tidur)</t>
  </si>
  <si>
    <t>Pasien pulang dibagi tempat tidur.</t>
  </si>
  <si>
    <t>BTO (Bed Turn Over): berapa kali satu tempat tidur dipakai pasien dalam setahun. Rumus: pasien pulang ÷ tempat tidur.</t>
  </si>
  <si>
    <t>PEMETAAN KELAS RAWAT</t>
  </si>
  <si>
    <t>Kelas pada profil RS</t>
  </si>
  <si>
    <t>VIP ke atas</t>
  </si>
  <si>
    <t>Intensive care semua jenis</t>
  </si>
  <si>
    <t>IDENTITAS PENGISI</t>
  </si>
  <si>
    <t>ISIAN</t>
  </si>
  <si>
    <t>Nama petugas pengisi</t>
  </si>
  <si>
    <t>Nama lengkap.</t>
  </si>
  <si>
    <t>Nama lengkap petugas yang mengisi template ini.</t>
  </si>
  <si>
    <t>Wajib. Teks 3 sampai 100 karakter.</t>
  </si>
  <si>
    <t>Jabatan / unit kerja</t>
  </si>
  <si>
    <t>Contoh: Kepala Bagian Keuangan.</t>
  </si>
  <si>
    <t>Jabatan dan unit kerja petugas pengisi. Contoh: Kepala Bagian Keuangan.</t>
  </si>
  <si>
    <t>Nomor HP (WA)</t>
  </si>
  <si>
    <t>Untuk konfirmasi data.</t>
  </si>
  <si>
    <t>Nomor HP aktif (WhatsApp) petugas pengisi untuk konfirmasi data.</t>
  </si>
  <si>
    <t>Wajib. Hanya angka (boleh diawali + atau tanda -), 9 sampai 16 karakter. Contoh: 081234567890.</t>
  </si>
  <si>
    <t>Email</t>
  </si>
  <si>
    <t>Email aktif.</t>
  </si>
  <si>
    <t>Alamat email aktif petugas pengisi.</t>
  </si>
  <si>
    <t>Wajib. Harus memuat @ dan titik, tanpa spasi. Contoh: nama@rs.go.id.</t>
  </si>
  <si>
    <t>Tanggal pengisian</t>
  </si>
  <si>
    <t>Format hari-bulan-tahun.</t>
  </si>
  <si>
    <t>Tanggal template ini diisi.</t>
  </si>
  <si>
    <t>Wajib. Format hari-bulan-tahun, contoh 15-10-2026. Hanya tanggal yang valid.</t>
  </si>
  <si>
    <t>Nama direktur RS</t>
  </si>
  <si>
    <t>Penanggung jawab data.</t>
  </si>
  <si>
    <t>Nama direktur RS selaku penanggung jawab data.</t>
  </si>
  <si>
    <t>DATA OPERASIONAL RS</t>
  </si>
  <si>
    <t>Kunjungan JKN</t>
  </si>
  <si>
    <t>Kunjungan Non-JKN</t>
  </si>
  <si>
    <t>Hari Rawat JKN</t>
  </si>
  <si>
    <t>Hari Rawat Non-JKN</t>
  </si>
  <si>
    <t>Total Kunjungan (Otomatis)</t>
  </si>
  <si>
    <t>Total Hari Rawat (Otomatis)</t>
  </si>
  <si>
    <t>STATISTIK RAWAT INAP PER KELAS</t>
  </si>
  <si>
    <t>Tempat Tidur</t>
  </si>
  <si>
    <t>Total Hari Rawat</t>
  </si>
  <si>
    <t>Pasien Pulang</t>
  </si>
  <si>
    <t>Status BOR</t>
  </si>
  <si>
    <t>HASIL PEMERIKSAAN: Kunjungan dan Hari Rawat (kolom B–E)</t>
  </si>
  <si>
    <t>HASIL PEMERIKSAAN: Statistik Rawat Inap (kolom J, N)</t>
  </si>
  <si>
    <t>Instalasi Gawat Darurat (IGD)</t>
  </si>
  <si>
    <t>TOTAL RS</t>
  </si>
  <si>
    <t>Neoplasma dan Myeloproliferative</t>
  </si>
  <si>
    <t>BOR = hari rawat ÷ (tempat tidur × 365) × 100. ALOS = hari rawat ÷ pasien pulang. Rentang wajar BOR 40 sampai 90 per kelas, total RS 50 sampai 85.</t>
  </si>
  <si>
    <t>Jantung dan Pembuluh Darah</t>
  </si>
  <si>
    <t>Saraf / Neuroscience</t>
  </si>
  <si>
    <t>VOLUME PENUNJANG MEDIS (SETAHUN)</t>
  </si>
  <si>
    <t>Satuan</t>
  </si>
  <si>
    <t>Volume JKN</t>
  </si>
  <si>
    <t>Volume Non-JKN</t>
  </si>
  <si>
    <t>Total Volume</t>
  </si>
  <si>
    <t>HASIL PEMERIKSAAN: Volume Penunjang (kolom K, L)</t>
  </si>
  <si>
    <t>Kesehatan Ibu dan Ginekologi</t>
  </si>
  <si>
    <t>Farmasi</t>
  </si>
  <si>
    <t>lembar resep</t>
  </si>
  <si>
    <t>Kesehatan Neonatus</t>
  </si>
  <si>
    <t>Radiologi</t>
  </si>
  <si>
    <t>pemeriksaan</t>
  </si>
  <si>
    <t>Sistem Pencernaan dan Hepatobiliar</t>
  </si>
  <si>
    <t>Laboratorium</t>
  </si>
  <si>
    <t>tes</t>
  </si>
  <si>
    <t>Uronefro (Urologi dan Nefrologi)</t>
  </si>
  <si>
    <t>Rehabilitasi Medik</t>
  </si>
  <si>
    <t>sesi terapi</t>
  </si>
  <si>
    <t>Musculoskeletal dan Jaringan Lunak</t>
  </si>
  <si>
    <t>Rehabilitasi Psikososial</t>
  </si>
  <si>
    <t>pasien</t>
  </si>
  <si>
    <t>Rekonstruksi dan Estetika</t>
  </si>
  <si>
    <t>Instalasi Bedah Sentral (IBS)</t>
  </si>
  <si>
    <t>jam operasi</t>
  </si>
  <si>
    <t>Trauma</t>
  </si>
  <si>
    <t>Instalasi Gizi</t>
  </si>
  <si>
    <t>hari rawat</t>
  </si>
  <si>
    <t>OK: otomatis dari total hari rawat (tidak diisi)</t>
  </si>
  <si>
    <t>Paru</t>
  </si>
  <si>
    <t>Laundry Rumah Sakit</t>
  </si>
  <si>
    <t>kg linen</t>
  </si>
  <si>
    <t>THT (Telinga, Hidung, Tenggorokan)</t>
  </si>
  <si>
    <t>Unit Sterilisasi Alat (CSSD)</t>
  </si>
  <si>
    <t>paket steril</t>
  </si>
  <si>
    <t>Mata</t>
  </si>
  <si>
    <t>Gas Medis</t>
  </si>
  <si>
    <t>m³ oksigen</t>
  </si>
  <si>
    <t>Kulit dan Kelamin</t>
  </si>
  <si>
    <t>Bank Darah</t>
  </si>
  <si>
    <t>kantong</t>
  </si>
  <si>
    <t>Infeksi / Penyakit Tropis</t>
  </si>
  <si>
    <t>Bank Jaringan</t>
  </si>
  <si>
    <t>jaringan</t>
  </si>
  <si>
    <t>Hematologi dan Onkologi Medik</t>
  </si>
  <si>
    <t>Imunologi dan Reumatologi</t>
  </si>
  <si>
    <t>Volume penunjang menjadi dasar unit cost per item (resep, tes, pemeriksaan, jam operasi). Pada simulasi ini penunjang klinis dialokasikan sebagai pool terpisah.</t>
  </si>
  <si>
    <t>Keracunan (Toksikologi)</t>
  </si>
  <si>
    <t>Endokrin, Metabolik, dan Diabetes</t>
  </si>
  <si>
    <t>Luka Bakar (Burn Unit)</t>
  </si>
  <si>
    <t>Jiwa / Psikiatri</t>
  </si>
  <si>
    <t>Gigi dan Mulut</t>
  </si>
  <si>
    <t>Forensik dan Medikolegal</t>
  </si>
  <si>
    <t>TOTAL VOLUME</t>
  </si>
  <si>
    <t>Kunjungan: rawat jalan dan IGD. Hari rawat: rawat inap. Pisahkan JKN dan Non-JKN. Kolom kosong berarti unit tidak memiliki jenis layanan itu.</t>
  </si>
  <si>
    <t>Pusat biaya final = 6 pusat biaya tetap + 24 layanan. Nama harus sama persis dengan Costing Template.</t>
  </si>
  <si>
    <t>Pasien pulang dan tempat tidur per kelas ada pada blok statistik di kanan (kolom I sampai Q).</t>
  </si>
  <si>
    <t>DEFINISI OPERASIONAL (DO) DAN ATURAN ISIAN SHEET INI</t>
  </si>
  <si>
    <t>Isian (kolom dan baris)</t>
  </si>
  <si>
    <t>Aturan Validasi dan Cara Mengisi</t>
  </si>
  <si>
    <t>Kunjungan JKN (B7:B31)
IGD dan 24 layanan</t>
  </si>
  <si>
    <t>Jumlah kunjungan (bukan jumlah pasien unik) pasien peserta JKN selama 1 Januari sampai 31 Desember. Pasien yang datang 3 kali dihitung 3 kunjungan.</t>
  </si>
  <si>
    <t>Wajib untuk baris 7–31. Bilangan bulat ≥ 0, isi 0 bila tidak ada. Satu kunjungan hanya dihitung di satu layanan. Baris 2–6 dikosongkan. Total semua layanan harus sama dengan total kunjungan poliklinik RS.</t>
  </si>
  <si>
    <t>Kunjungan Non-JKN (C7:C31)</t>
  </si>
  <si>
    <t>Jumlah kunjungan pasien umum, asuransi swasta, dan penjamin lain (bukan JKN) selama setahun.</t>
  </si>
  <si>
    <t>Sama dengan kunjungan JKN. Jumlah JKN + Non-JKN harus cocok dengan laporan SIMRS.</t>
  </si>
  <si>
    <t>Hari Rawat JKN (D2:D6)</t>
  </si>
  <si>
    <t>Jumlah hari pasien JKN menempati tempat tidur selama setahun. Pasien yang masuk dan pulang pada hari yang sama dihitung 1 hari.</t>
  </si>
  <si>
    <t>Wajib untuk baris 2–6 (KRIS C, B, A, VIP, ICU). Bilangan bulat ≥ 0. Tidak boleh melebihi tempat tidur × 365. Baris 7–31 dikosongkan agar tidak terhitung ganda.</t>
  </si>
  <si>
    <t>Hari Rawat Non-JKN (E2:E6)</t>
  </si>
  <si>
    <t>Jumlah hari pasien non-JKN menempati tempat tidur selama setahun.</t>
  </si>
  <si>
    <t>Sama dengan Hari Rawat JKN.</t>
  </si>
  <si>
    <t>Total Kunjungan dan Total Hari Rawat (F, G)</t>
  </si>
  <si>
    <t>Penjumlahan JKN + Non-JKN. Hanya muncul bila kedua kolom terisi.</t>
  </si>
  <si>
    <t>Otomatis dan terkunci. Jangan diisi.</t>
  </si>
  <si>
    <t>Tempat Tidur (J2:J6)</t>
  </si>
  <si>
    <t>Jumlah tempat tidur rawat inap yang terpasang pada kelas tersebut sesuai SK direktur. Bukan jumlah kamar.</t>
  </si>
  <si>
    <t>Wajib. Bilangan bulat ≥ 0. Isi 0 bila RS tidak punya kelas tersebut. Harus sama dengan kolom Jml Tempat Tidur (I) di Costing Template.</t>
  </si>
  <si>
    <t>Pasien Pulang (N2:N6)</t>
  </si>
  <si>
    <t>Jumlah pasien yang keluar dari rawat inap selama setahun, baik pulang hidup maupun meninggal. Pasien yang masih dirawat pada 31 Desember tidak dihitung.</t>
  </si>
  <si>
    <t>Wajib. Bilangan bulat ≥ 0. Dihitung satu kali, di kelas tempat pasien keluar. Dipakai untuk ALOS.</t>
  </si>
  <si>
    <t>BOR, ALOS, Status BOR (O, P, Q)</t>
  </si>
  <si>
    <t>BOR = hari rawat ÷ (tempat tidur × 365) × 100. ALOS = hari rawat ÷ pasien pulang.</t>
  </si>
  <si>
    <t>Otomatis. Status CEK bila BOR di luar 40–90% per kelas (50–85% total RS). Periksa tempat tidur dan hari rawat.</t>
  </si>
  <si>
    <t>Volume Farmasi (K11:L11)</t>
  </si>
  <si>
    <t>Jumlah lembar resep yang dilayani setahun (rawat jalan, IGD, dan rawat inap).</t>
  </si>
  <si>
    <t>Bilangan bulat ≥ 0. Isi JKN dan Non-JKN. Isi 0 bila RS tidak punya unit.</t>
  </si>
  <si>
    <t>Volume Radiologi (K12:L12)</t>
  </si>
  <si>
    <t>Jumlah pemeriksaan radiologi setahun (satu jenis pemeriksaan dihitung satu kali, bukan jumlah lembar film).</t>
  </si>
  <si>
    <t>Bilangan bulat ≥ 0.</t>
  </si>
  <si>
    <t>Volume Laboratorium (K13:L13)</t>
  </si>
  <si>
    <t>Jumlah tes (parameter pemeriksaan) laboratorium setahun, bukan jumlah pasien.</t>
  </si>
  <si>
    <t>Volume Rehabilitasi Medik (K14:L14)</t>
  </si>
  <si>
    <t>Jumlah sesi terapi yang diberikan setahun.</t>
  </si>
  <si>
    <t>Volume Rehabilitasi Psikososial (K15:L15)</t>
  </si>
  <si>
    <t>Jumlah pasien yang dilayani setahun pada unit rehabilitasi psikososial.</t>
  </si>
  <si>
    <t>Volume IBS (K16:L16)</t>
  </si>
  <si>
    <t>Total jam operasi seluruh tindakan bedah setahun sesuai catatan kamar operasi.</t>
  </si>
  <si>
    <t>Angka ≥ 0, boleh desimal (contoh 1,5 jam).</t>
  </si>
  <si>
    <t>Volume Gizi (baris 17)</t>
  </si>
  <si>
    <t>Jumlah hari rawat yang dilayani instalasi gizi.</t>
  </si>
  <si>
    <t>Otomatis dari total hari rawat (D32, E32). Jangan diisi.</t>
  </si>
  <si>
    <t>Volume Laundry (K18:L18)</t>
  </si>
  <si>
    <t>Berat linen yang dicuci setahun, dalam kilogram.</t>
  </si>
  <si>
    <t>Angka ≥ 0, boleh desimal.</t>
  </si>
  <si>
    <t>Volume CSSD (K19:L19)</t>
  </si>
  <si>
    <t>Jumlah paket alat steril yang dikeluarkan setahun.</t>
  </si>
  <si>
    <t>Volume Gas Medis (K20:L20)</t>
  </si>
  <si>
    <t>Volume oksigen yang terpakai setahun, dalam meter kubik (m³). Konversikan dari jumlah tabung bila perlu.</t>
  </si>
  <si>
    <t>Volume Bank Darah (K21:L21)</t>
  </si>
  <si>
    <t>Jumlah kantong darah yang dikeluarkan untuk pasien setahun.</t>
  </si>
  <si>
    <t>Volume Bank Jaringan (K22:L22)</t>
  </si>
  <si>
    <t>Jumlah jaringan yang diproses atau didistribusikan setahun.</t>
  </si>
  <si>
    <t>LAPORAN OPERASIONAL (LO) TAHUN DATA (RUPIAH)</t>
  </si>
  <si>
    <t>Realisasi (Rp)</t>
  </si>
  <si>
    <t>I. PENDAPATAN OPERASIONAL</t>
  </si>
  <si>
    <t>Pendapatan Alokasi APBN</t>
  </si>
  <si>
    <t>Pendanaan pemerintah.</t>
  </si>
  <si>
    <t>Pendapatan dari alokasi APBN yang diakui pada LO tahun data.</t>
  </si>
  <si>
    <t>Wajib. Rupiah penuh, angka ≥ 0, tanpa titik, koma, atau Rp. Isi 0 bila tidak ada. Salin apa adanya dari LO.</t>
  </si>
  <si>
    <t>Pendapatan Jasa Layanan dari Masyarakat</t>
  </si>
  <si>
    <t>Pasien JKN dan umum.</t>
  </si>
  <si>
    <t>Pendapatan jasa layanan dari pasien/masyarakat (JKN dan umum) pada LO tahun data.</t>
  </si>
  <si>
    <t>Pendapatan Jasa Layanan dari Entitas Lain</t>
  </si>
  <si>
    <t>Asuransi dan penjamin lain.</t>
  </si>
  <si>
    <t>Pendapatan jasa layanan dari asuransi dan penjamin lain pada LO tahun data.</t>
  </si>
  <si>
    <t>Pendapatan Hibah BLU</t>
  </si>
  <si>
    <t>Pendapatan hibah yang diterima BLU (uang, barang, atau jasa) pada LO tahun data.</t>
  </si>
  <si>
    <t>Pendapatan Hasil Kerja Sama BLU</t>
  </si>
  <si>
    <t>Pendapatan hasil kerja sama BLU dengan pihak lain pada LO tahun data.</t>
  </si>
  <si>
    <t>Pendapatan BLU Lainnya</t>
  </si>
  <si>
    <t>Sewa, parkir, dan lain-lain.</t>
  </si>
  <si>
    <t>Pendapatan BLU lainnya, misalnya sewa dan parkir, pada LO tahun data.</t>
  </si>
  <si>
    <t>JUMLAH PENDAPATAN</t>
  </si>
  <si>
    <t>Total pendapatan = baris 3 sampai 8.</t>
  </si>
  <si>
    <t>II. BEBAN OPERASIONAL</t>
  </si>
  <si>
    <t>Beban Pegawai</t>
  </si>
  <si>
    <t>Gaji, tunjangan, jasa pelayanan, dan remunerasi.</t>
  </si>
  <si>
    <t>Beban pegawai pada LO: gaji, tunjangan, jasa pelayanan, remunerasi.</t>
  </si>
  <si>
    <t>Beban Persediaan</t>
  </si>
  <si>
    <t>Obat, BMHP, reagen, bahan makanan.</t>
  </si>
  <si>
    <t>Beban persediaan pada LO: obat, BMHP, reagen, bahan makanan.</t>
  </si>
  <si>
    <t>Beban Barang dan Jasa</t>
  </si>
  <si>
    <t>Listrik, air, jasa pihak ketiga.</t>
  </si>
  <si>
    <t>Beban barang dan jasa pada LO: listrik, air, jasa pihak ketiga.</t>
  </si>
  <si>
    <t>Beban Pemeliharaan</t>
  </si>
  <si>
    <t>Beban pemeliharaan alat, gedung, dan sarana pada LO.</t>
  </si>
  <si>
    <t>Beban Perjalanan Dinas</t>
  </si>
  <si>
    <t>Beban perjalanan dinas pada LO.</t>
  </si>
  <si>
    <t>Beban Penyusutan dan Amortisasi</t>
  </si>
  <si>
    <t>Beban penyusutan dan amortisasi aset pada LO.</t>
  </si>
  <si>
    <t>Beban Penyisihan Piutang Tak Tertagih</t>
  </si>
  <si>
    <t>Beban penyisihan piutang tak tertagih pada LO.</t>
  </si>
  <si>
    <t>JUMLAH BEBAN OPERASIONAL</t>
  </si>
  <si>
    <t>Total beban operasional = baris 11 sampai 17.</t>
  </si>
  <si>
    <t>SURPLUS (DEFISIT) DARI KEGIATAN OPERASIONAL</t>
  </si>
  <si>
    <t>Pendapatan dikurangi beban operasional.</t>
  </si>
  <si>
    <t>Surplus/Defisit Pelepasan Aset Non Lancar</t>
  </si>
  <si>
    <t>Pendapatan pelepasan aset dikurangi beban pelepasan aset. Isi negatif jika defisit.</t>
  </si>
  <si>
    <t>Pendapatan pelepasan aset non lancar dikurangi bebannya. Hasil bersih surplus atau defisit.</t>
  </si>
  <si>
    <t>Wajib. Rupiah penuh tanpa titik, koma, atau Rp. Boleh negatif bila defisit (tulis dengan tanda minus). Isi 0 bila tidak ada.</t>
  </si>
  <si>
    <t>Surplus/Defisit Kegiatan Non Operasional Lainnya</t>
  </si>
  <si>
    <t>Pendapatan dikurangi beban kegiatan non operasional lainnya. Isi negatif jika defisit.</t>
  </si>
  <si>
    <t>Pendapatan non operasional lainnya dikurangi bebannya. Hasil bersih surplus atau defisit.</t>
  </si>
  <si>
    <t>JUMLAH SURPLUS (DEFISIT) KEGIATAN NON OPERASIONAL</t>
  </si>
  <si>
    <t>Jumlah surplus (defisit) kegiatan non operasional.</t>
  </si>
  <si>
    <t>SURPLUS (DEFISIT) LO</t>
  </si>
  <si>
    <t>Surplus (defisit) LO hasil hitungan template.</t>
  </si>
  <si>
    <t>Surplus (Defisit) LO sesuai laporan</t>
  </si>
  <si>
    <t>Angka pada laporan resmi.</t>
  </si>
  <si>
    <t>Angka surplus (defisit) LO pada laporan resmi, dipakai untuk menguji hitungan template.</t>
  </si>
  <si>
    <t>Wajib. Rupiah penuh tanpa titik, koma, atau Rp. Boleh negatif bila defisit (tulis dengan tanda minus). Isi 0 bila tidak ada. Selisih dengan B23 harus 0.</t>
  </si>
  <si>
    <t>Selisih (harus 0)</t>
  </si>
  <si>
    <t>Selisih surplus (defisit) hitungan dan laporan. Harus 0.</t>
  </si>
  <si>
    <t>III. RINCIAN BEBAN UNTUK COSTING</t>
  </si>
  <si>
    <t>Masuk kolom Biaya Gaji di Costing Template.</t>
  </si>
  <si>
    <t>Gaji pokok dan tunjangan pegawai setahun. Tidak termasuk jasa pelayanan.</t>
  </si>
  <si>
    <t>Wajib. Rupiah penuh, angka ≥ 0, tanpa titik, koma, atau Rp. Isi 0 bila tidak ada. Salin apa adanya dari LO. Harus sama dengan total kolom Biaya Gaji di Costing Template.</t>
  </si>
  <si>
    <t>Biaya Jasa Medis/Remunerasi Dokter</t>
  </si>
  <si>
    <t>Masuk kolom Biaya Jasa Medis.</t>
  </si>
  <si>
    <t>Jasa pelayanan dan remunerasi dokter setahun.</t>
  </si>
  <si>
    <t>Wajib. Rupiah penuh, angka ≥ 0, tanpa titik, koma, atau Rp. Isi 0 bila tidak ada. Salin apa adanya dari LO. Harus sama dengan total kolom Biaya Jasa Medis di Costing Template.</t>
  </si>
  <si>
    <t>Biaya Jasa Lainnya/Remunerasi Staf</t>
  </si>
  <si>
    <t>Masuk kolom Biaya Jasa Medis Lain.</t>
  </si>
  <si>
    <t>Jasa pelayanan dan remunerasi perawat dan staf lain setahun.</t>
  </si>
  <si>
    <t>Wajib. Rupiah penuh, angka ≥ 0, tanpa titik, koma, atau Rp. Isi 0 bila tidak ada. Salin apa adanya dari LO. Harus sama dengan total kolom Biaya Jasa Medis Lain di Costing Template.</t>
  </si>
  <si>
    <t>Persediaan, barang dan jasa, pemeliharaan, perjalanan dinas, piutang, dan pegawai lainnya.</t>
  </si>
  <si>
    <t>Seluruh biaya di luar gaji, jasa, dan penyusutan: persediaan, barang dan jasa, pemeliharaan, perjalanan dinas, piutang, dan beban pegawai lainnya.</t>
  </si>
  <si>
    <t>Wajib. Rupiah penuh, angka ≥ 0, tanpa titik, koma, atau Rp. Isi 0 bila tidak ada. Salin apa adanya dari LO. Harus sama dengan total Biaya Operasional di Costing Template.</t>
  </si>
  <si>
    <t>Penyusutan Investasi (Alat Medik dan Non Medik)</t>
  </si>
  <si>
    <t>Nilai alat ÷ 5 tahun.</t>
  </si>
  <si>
    <t>Penyusutan alat medik dan non medik setahun = nilai perolehan alat ÷ 5 tahun.</t>
  </si>
  <si>
    <t>Wajib. Rupiah penuh, angka ≥ 0, tanpa titik, koma, atau Rp. Isi 0 bila tidak ada. Salin apa adanya dari LO. Harus sama dengan total Dep. Peralatan di Costing Template.</t>
  </si>
  <si>
    <t>Penyusutan Gedung</t>
  </si>
  <si>
    <t>Investasi gedung ÷ 40 tahun.</t>
  </si>
  <si>
    <t>Penyusutan gedung setahun = nilai perolehan gedung ÷ 40 tahun.</t>
  </si>
  <si>
    <t>Wajib. Rupiah penuh, angka ≥ 0, tanpa titik, koma, atau Rp. Isi 0 bila tidak ada. Salin apa adanya dari LO. Harus sama dengan total Dep. Gedung di Costing Template.</t>
  </si>
  <si>
    <t>TOTAL BIAYA RUMAH SAKIT</t>
  </si>
  <si>
    <t>Total biaya RS untuk costing = baris 27 sampai 32.</t>
  </si>
  <si>
    <t>Selisih terhadap jumlah beban LO (harus 0)</t>
  </si>
  <si>
    <t>Total biaya costing dikurangi total beban LO. Harus 0.</t>
  </si>
  <si>
    <t>IV. PEMBAGIAN PENDAPATAN</t>
  </si>
  <si>
    <t>Dari klaim JKN.</t>
  </si>
  <si>
    <t>Pendapatan klaim JKN (BPJS) yang diterima RS pada tahun data.</t>
  </si>
  <si>
    <t>Wajib. Rupiah penuh, angka ≥ 0, tanpa titik, koma, atau Rp. Isi 0 bila tidak ada. Salin apa adanya dari LO. Tidak boleh lebih besar dari B4 + B5.</t>
  </si>
  <si>
    <t>Pendapatan Fungsional Non-JKN</t>
  </si>
  <si>
    <t>Sisa pendapatan jasa layanan.</t>
  </si>
  <si>
    <t>Pendapatan jasa layanan di luar JKN = B4 + B5 − B36.</t>
  </si>
  <si>
    <t>Pendapatan Layanan Lainnya</t>
  </si>
  <si>
    <t>Pendapatan hasil kerja sama dan BLU lainnya = B7 + B8.</t>
  </si>
  <si>
    <t>Pendanaan Pemerintah (APBN dan Hibah)</t>
  </si>
  <si>
    <t>Pendanaan pemerintah = alokasi APBN + hibah (B3 + B6).</t>
  </si>
  <si>
    <t>TOTAL PENDAPATAN</t>
  </si>
  <si>
    <t>Total pendapatan dari pembagian di atas.</t>
  </si>
  <si>
    <t>Selisih terhadap jumlah pendapatan LO (harus 0)</t>
  </si>
  <si>
    <t>Total pendapatan pembagian dikurangi jumlah pendapatan LO. Harus 0.</t>
  </si>
  <si>
    <t>V. REKONSILIASI KE COSTING TEMPLATE (SELISIH, HARUS 0)</t>
  </si>
  <si>
    <t>Biaya gaji</t>
  </si>
  <si>
    <t>Costing Template dikurangi rincian.</t>
  </si>
  <si>
    <t>Selisih total kolom di Costing Template dikurangi rincian di atas. Harus 0.</t>
  </si>
  <si>
    <t>Jasa medis dokter</t>
  </si>
  <si>
    <t>Jasa medis lain</t>
  </si>
  <si>
    <t>Biaya operasional</t>
  </si>
  <si>
    <t>Penyusutan alat</t>
  </si>
  <si>
    <t>Penyusutan gedung</t>
  </si>
  <si>
    <t>Total biaya</t>
  </si>
  <si>
    <t>Status</t>
  </si>
  <si>
    <t>Toleransi Rp1.000.</t>
  </si>
  <si>
    <t>Status keseluruhan rekonsiliasi ke Costing Template.</t>
  </si>
  <si>
    <t>Catatan reklasifikasi: beban pegawai LO dikurangi gaji dan jasa</t>
  </si>
  <si>
    <t>Dicatat sebagai operasional lainnya pada costing.</t>
  </si>
  <si>
    <t>Beban pegawai LO dikurangi gaji dan jasa. Dicatat sebagai operasional lainnya.</t>
  </si>
  <si>
    <t>Catatan reklasifikasi: penyusutan LO dikurangi penyusutan costing</t>
  </si>
  <si>
    <t>Penyusutan LO dikurangi penyusutan costing. Dicatat sebagai operasional lainnya.</t>
  </si>
  <si>
    <t>TEMPLATE INPUT DATA COSTING RS</t>
  </si>
  <si>
    <t>Tahun Data:</t>
  </si>
  <si>
    <t>Tipe RS:</t>
  </si>
  <si>
    <t>Kepemilikan:</t>
  </si>
  <si>
    <t>A. PUSAT BIAYA PENUNJANG UMUM (OVERHEAD)</t>
  </si>
  <si>
    <t>No</t>
  </si>
  <si>
    <t>Nama Unit / Pusat Biaya</t>
  </si>
  <si>
    <t>Dasar Alokasi</t>
  </si>
  <si>
    <t>Jumlah Staf</t>
  </si>
  <si>
    <t>Hari Rawat</t>
  </si>
  <si>
    <t>Jml Kunjungan</t>
  </si>
  <si>
    <t>Jml Tempat Tidur</t>
  </si>
  <si>
    <t>Biaya Jasa Medis</t>
  </si>
  <si>
    <t>Biaya Jasa Medis Lain</t>
  </si>
  <si>
    <t>Biaya Operasional</t>
  </si>
  <si>
    <t>Nilai Alat</t>
  </si>
  <si>
    <t>Investasi Gedung</t>
  </si>
  <si>
    <t>Dep. Peralatan (Otomatis)</t>
  </si>
  <si>
    <t>Dep. Gedung (Otomatis)</t>
  </si>
  <si>
    <t>Luas Lantai (m²)</t>
  </si>
  <si>
    <t>Total Biaya Langsung (Otomatis)</t>
  </si>
  <si>
    <t>HASIL PEMERIKSAAN BARIS</t>
  </si>
  <si>
    <t>Manajemen &amp; Administrasi</t>
  </si>
  <si>
    <t>Komite &amp; Pengawasan</t>
  </si>
  <si>
    <t>Teknologi Informasi</t>
  </si>
  <si>
    <t>Pendidikan &amp; Penelitian</t>
  </si>
  <si>
    <t>Keamanan &amp; Keselamatan</t>
  </si>
  <si>
    <t>Cleaning Services</t>
  </si>
  <si>
    <t>Customer Service / Front Office</t>
  </si>
  <si>
    <t>Bahan Habis Pakai - Non Medis</t>
  </si>
  <si>
    <t>Fasilitas (Listrik, Air, Telepon, Internet)</t>
  </si>
  <si>
    <t>Pajak &amp; Asuransi</t>
  </si>
  <si>
    <t>Sewa dan Kerja Sama Operasional</t>
  </si>
  <si>
    <t>Parkir</t>
  </si>
  <si>
    <t>TOTAL OVERHEAD</t>
  </si>
  <si>
    <t>B. PUSAT BIAYA PENUNJANG MEDIS (INTERMEDIATE)</t>
  </si>
  <si>
    <t>resep_ddd</t>
  </si>
  <si>
    <t>jumlah_pemeriksaan</t>
  </si>
  <si>
    <t>jumlah_test</t>
  </si>
  <si>
    <t>jumlah_terapi</t>
  </si>
  <si>
    <t>jam_operasi</t>
  </si>
  <si>
    <t>jumlah_tindakan</t>
  </si>
  <si>
    <t>penggunaan</t>
  </si>
  <si>
    <t>kantong_darah</t>
  </si>
  <si>
    <t>TOTAL PENUNJANG MEDIK</t>
  </si>
  <si>
    <t>C. PUSAT BIAYA UTAMA (LAYANAN PASIEN): 6 PUSAT BIAYA TETAP + 24 LAYANAN</t>
  </si>
  <si>
    <t>TOTAL LAYANAN PASIEN</t>
  </si>
  <si>
    <t>TOTAL BIAYA COSTING RS</t>
  </si>
  <si>
    <t>CATATAN:</t>
  </si>
  <si>
    <t>Dasar Alokasi: jumlah_staf / luas_lantai / hari_rawat / jumlah_kunjungan / jumlah_pasien. Semua biaya dalam RUPIAH tanpa titik atau koma.</t>
  </si>
  <si>
    <t>Biaya Gaji = gaji pokok dan tunjangan. Biaya Jasa Medis = jasa pelayanan dokter. Biaya Jasa Medis Lain = jasa pelayanan perawat dan staf lain. Biaya Operasional tidak memuat penyusutan.</t>
  </si>
  <si>
    <t>Nilai Alat dan Investasi Gedung adalah NILAI PEROLEHAN. Penyusutan otomatis: alat ÷ 5 tahun, gedung ÷ 40 tahun.</t>
  </si>
  <si>
    <t>Hari Rawat, Pasien Pulang, dan Jml Kunjungan terbaca dari sheet Data Operasional. Luas lantai (m²) diisi untuk semua pusat biaya sebagai kunci alokasi.</t>
  </si>
  <si>
    <t>DEFINISI OPERASIONAL (DO) DAN ATURAN ISIAN KOLOM COSTING TEMPLATE</t>
  </si>
  <si>
    <t>Kolom / Isian</t>
  </si>
  <si>
    <t>C. Dasar Alokasi</t>
  </si>
  <si>
    <t>Ukuran yang dipakai untuk membagi biaya unit ini ke unit lain. Overhead dan layanan: jumlah_staf (jumlah pegawai), luas_lantai (luas bangunan), jumlah_kunjungan (kunjungan rawat jalan dan IGD), jumlah_pasien (pasien yang dilayani), hari_rawat (hari rawat inap). Penunjang medis: resep_ddd (lembar resep farmasi), jumlah_pemeriksaan (radiologi), jumlah_test (laboratorium), jumlah_terapi (rehabilitasi), jam_operasi (IBS), jumlah_tindakan (CSSD), penggunaan (gas medis), kantong_darah, jaringan.</t>
  </si>
  <si>
    <t>Pilih dari daftar dropdown. Nilai bawaan sudah sesuai jenis unit. Jangan mengetik sendiri.</t>
  </si>
  <si>
    <t>D. Jumlah Staf</t>
  </si>
  <si>
    <t>Jumlah orang (PNS, PPPK, kontrak, dan pegawai lain yang digaji RS) yang bertugas di unit pada 31 Desember tahun data.</t>
  </si>
  <si>
    <t>Wajib. Bilangan bulat ≥ 0. Satu orang hanya dihitung di satu unit (unit tugas utama). Total seluruh unit harus sama dengan Total SDM di Data Dasar RS (B44).</t>
  </si>
  <si>
    <t>E. Hari Rawat (otomatis)</t>
  </si>
  <si>
    <t>Total hari rawat JKN + Non-JKN kelas rawat inap, dibaca dari Data Operasional.</t>
  </si>
  <si>
    <t>Otomatis dan terkunci. Isi di Data Operasional kolom D dan E.</t>
  </si>
  <si>
    <t>F. Pasien Pulang (otomatis)</t>
  </si>
  <si>
    <t>Jumlah pasien keluar rawat inap setahun, dibaca dari Data Operasional.</t>
  </si>
  <si>
    <t>Otomatis dan terkunci. Isi di Data Operasional kolom N.</t>
  </si>
  <si>
    <t>G. Jml Kunjungan (otomatis)</t>
  </si>
  <si>
    <t>Total kunjungan JKN + Non-JKN IGD dan layanan rawat jalan, dibaca dari Data Operasional.</t>
  </si>
  <si>
    <t>Otomatis dan terkunci. Isi di Data Operasional kolom B dan C.</t>
  </si>
  <si>
    <t>H. ALOS (otomatis)</t>
  </si>
  <si>
    <t>Rata-rata lama rawat = hari rawat ÷ pasien pulang.</t>
  </si>
  <si>
    <t>I. Jml Tempat Tidur</t>
  </si>
  <si>
    <t>Jumlah tempat tidur rawat inap pada kelas tersebut. Hanya untuk 5 baris kamar rawat inap.</t>
  </si>
  <si>
    <t>Wajib untuk baris 38–42. Bilangan bulat ≥ 0 dan harus sama dengan Data Operasional kolom J.</t>
  </si>
  <si>
    <t>J. Biaya Gaji</t>
  </si>
  <si>
    <t>Gaji pokok dan tunjangan pegawai unit selama setahun, dalam Rupiah. Tidak termasuk jasa pelayanan.</t>
  </si>
  <si>
    <t>Wajib. Rupiah penuh ≥ 0, tanpa titik, koma, atau Rp. Isi 0 bila tidak ada. Total semua unit sama dengan Data LO Lapkeu B27.</t>
  </si>
  <si>
    <t>K. Biaya Jasa Medis</t>
  </si>
  <si>
    <t>Jasa pelayanan (remunerasi) dokter di unit selama setahun, dalam Rupiah.</t>
  </si>
  <si>
    <t>Wajib. Rupiah penuh ≥ 0. Total semua unit sama dengan Data LO Lapkeu B28.</t>
  </si>
  <si>
    <t>L. Biaya Jasa Medis Lain</t>
  </si>
  <si>
    <t>Jasa pelayanan perawat dan staf lain di unit selama setahun, dalam Rupiah.</t>
  </si>
  <si>
    <t>Wajib. Rupiah penuh ≥ 0. Total semua unit sama dengan Data LO Lapkeu B29.</t>
  </si>
  <si>
    <t>M. Biaya Operasional</t>
  </si>
  <si>
    <t>Biaya selain gaji, jasa, dan penyusutan: obat, BMHP, bahan makanan, listrik, air, pemeliharaan, perjalanan dinas, jasa pihak ketiga, dan sejenisnya. Tidak memuat penyusutan.</t>
  </si>
  <si>
    <t>Wajib. Rupiah penuh ≥ 0. Satu biaya hanya masuk ke satu unit; biaya bersama masuk ke overhead. Total semua unit sama dengan Data LO Lapkeu B30.</t>
  </si>
  <si>
    <t>N. Nilai Alat</t>
  </si>
  <si>
    <t>Nilai perolehan (harga beli awal) alat medis dan non medis yang ada di unit. Bukan nilai buku dan bukan penyusutan.</t>
  </si>
  <si>
    <t>Wajib. Rupiah penuh ≥ 0. Penyusutan alat dihitung otomatis ÷ 5 tahun (kolom P).</t>
  </si>
  <si>
    <t>O. Investasi Gedung</t>
  </si>
  <si>
    <t>Nilai perolehan gedung atau bangunan yang dipakai unit. Bukan nilai buku dan bukan penyusutan.</t>
  </si>
  <si>
    <t>Wajib. Rupiah penuh ≥ 0. Penyusutan gedung dihitung otomatis ÷ 40 tahun (kolom Q).</t>
  </si>
  <si>
    <t>P, Q. Dep. Peralatan dan Gedung (otomatis)</t>
  </si>
  <si>
    <t>Penyusutan setahun = nilai alat ÷ 5 dan investasi gedung ÷ 40.</t>
  </si>
  <si>
    <t>Otomatis dan terkunci.</t>
  </si>
  <si>
    <t>R. Luas Lantai (m²)</t>
  </si>
  <si>
    <t>Luas bangunan yang dipakai unit, dalam meter persegi, sesuai data sarpras.</t>
  </si>
  <si>
    <t>Wajib untuk semua unit. Angka ≥ 0. Dipakai sebagai kunci alokasi luas_lantai.</t>
  </si>
  <si>
    <t>S. Total Biaya Langsung (otomatis)</t>
  </si>
  <si>
    <t>Gaji + jasa medis + jasa medis lain + operasional + dua penyusutan.</t>
  </si>
  <si>
    <t>Otomatis. Muncul bila kolom J sampai O terisi semua.</t>
  </si>
  <si>
    <t>T. Hasil Pemeriksaan Baris</t>
  </si>
  <si>
    <t>Pemeriksaan otomatis kelengkapan dan kewajaran isian satu baris.</t>
  </si>
  <si>
    <t>OK = lengkap dan wajar. KOSONG = belum diisi. BELUM LENGKAP = ada sel kosong. CEK = ada kesalahan, baca pesannya.</t>
  </si>
  <si>
    <t>RUMUS PERHITUNGAN UNIT COST (SEMUA ANGKA TERHUBUNG KE SHEET LAIN)</t>
  </si>
  <si>
    <t>Seluruh sel pada sheet ini adalah rumus Excel. Ubah data di sheet sumber, hasil unit cost berubah otomatis. Sel krem = asumsi yang boleh diubah (bobot, flag, target).</t>
  </si>
  <si>
    <t>1. RUMUS DASAR</t>
  </si>
  <si>
    <t>Langkah 1</t>
  </si>
  <si>
    <t>Biaya pusat biaya = Gaji + Jasa Medis + Jasa Medis Lain + Operasional + Nilai Alat ÷ 5 + Investasi Gedung ÷ 40</t>
  </si>
  <si>
    <t>Langkah 2</t>
  </si>
  <si>
    <t>Overhead dialokasikan ke Penunjang Medis dan Layanan Pasien: Alokasi = Biaya Overhead × (Nilai Kunci Penerima ÷ Σ Nilai Kunci Semua Penerima)</t>
  </si>
  <si>
    <t>Langkah 3</t>
  </si>
  <si>
    <t>Penunjang Medis = Biaya Langsung + Overhead diterima. Dialokasikan ke layanan: Alokasi = Total Biaya Penunjang × (Bobot Pemakaian ÷ Σ Bobot)</t>
  </si>
  <si>
    <t>Langkah 4</t>
  </si>
  <si>
    <t>Biaya untuk Unit Cost = Biaya Langsung + Overhead + Penunjang Umum (gizi, laundry, CSSD, gas medis)</t>
  </si>
  <si>
    <t>Langkah 5</t>
  </si>
  <si>
    <t>Unit Cost Kamar = Biaya untuk Unit Cost ÷ Hari Rawat. Unit Cost IGD dan Layanan = Biaya ÷ Jumlah Kunjungan</t>
  </si>
  <si>
    <t>Catatan</t>
  </si>
  <si>
    <t>Penunjang klinis (farmasi, radiologi, lab, IBS, bank darah, rehabilitasi) ditagihkan terpisah per tindakan, sehingga tidak masuk unit cost kamar. Disajikan pada kolom Biaya Penuh.</t>
  </si>
  <si>
    <t>CONTOH PERHITUNGAN: KAMAR RAWAT INAP STANDAR (KRIS) C</t>
  </si>
  <si>
    <t>Biaya langsung (gaji, jasa, operasional, penyusutan)</t>
  </si>
  <si>
    <t>Dari bagian 8, baris KRIS C</t>
  </si>
  <si>
    <t>Alokasi overhead</t>
  </si>
  <si>
    <t>Bagian 4</t>
  </si>
  <si>
    <t>Alokasi penunjang umum (gizi, laundry, CSSD, gas medis)</t>
  </si>
  <si>
    <t>Bagian 7</t>
  </si>
  <si>
    <t>Total biaya untuk unit cost</t>
  </si>
  <si>
    <t>Jumlah tiga baris di atas</t>
  </si>
  <si>
    <t>Hari rawat KRIS C setahun</t>
  </si>
  <si>
    <t>Data Operasional</t>
  </si>
  <si>
    <t>UNIT COST PER HARI RAWAT KRIS C (Rp)</t>
  </si>
  <si>
    <t>Biaya ÷ hari rawat</t>
  </si>
  <si>
    <t>Target (Rp)</t>
  </si>
  <si>
    <t>Rentang target</t>
  </si>
  <si>
    <t>2. BIAYA PUSAT BIAYA PENUNJANG UMUM (OVERHEAD) DAN KUNCI ALOKASI</t>
  </si>
  <si>
    <t>Pusat Biaya Overhead</t>
  </si>
  <si>
    <t>Kunci Alokasi</t>
  </si>
  <si>
    <t>Total Biaya (Rp)</t>
  </si>
  <si>
    <t>Staf</t>
  </si>
  <si>
    <t>Luas (m²)</t>
  </si>
  <si>
    <t>3. NILAI KUNCI ALOKASI PER PENERIMA (PENUNJANG MEDIS DAN LAYANAN PASIEN)</t>
  </si>
  <si>
    <t>Penerima overhead = 12 penunjang medis dan 30 pusat biaya layanan pasien.</t>
  </si>
  <si>
    <t>Penerima</t>
  </si>
  <si>
    <t>TOTAL</t>
  </si>
  <si>
    <t>4. ALOKASI OVERHEAD: Biaya Overhead × Nilai Kunci Penerima ÷ Σ Nilai Kunci</t>
  </si>
  <si>
    <t>Rumus sel: =Biaya overhead × INDEX(nilai kunci penerima) ÷ SUM(nilai kunci seluruh penerima).</t>
  </si>
  <si>
    <t>Penerima \ Overhead</t>
  </si>
  <si>
    <t>Total Overhead Diterima</t>
  </si>
  <si>
    <t>Kunci alokasi</t>
  </si>
  <si>
    <t>Total biaya overhead (Rp)</t>
  </si>
  <si>
    <t>TOTAL TERALOKASI</t>
  </si>
  <si>
    <t>Selisih terhadap biaya overhead (harus 0)</t>
  </si>
  <si>
    <t>5. BIAYA PENUNJANG MEDIS (INTERMEDIATE) SETELAH OVERHEAD DAN UNIT COST PER ITEM LAYANAN</t>
  </si>
  <si>
    <t>Penunjang Medis</t>
  </si>
  <si>
    <t>Biaya Langsung (Rp)</t>
  </si>
  <si>
    <t>Overhead Diterima (Rp)</t>
  </si>
  <si>
    <t>Flag (1=Umum, 0=Klinis)</t>
  </si>
  <si>
    <t>Jenis</t>
  </si>
  <si>
    <t>Volume Setahun</t>
  </si>
  <si>
    <t>Unit Cost per Item (Rp)</t>
  </si>
  <si>
    <t>6. BOBOT PEMAKAIAN PENUNJANG MEDIS PER PUSAT BIAYA LAYANAN (ASUMSI)</t>
  </si>
  <si>
    <t>Pusat Biaya Layanan \ Penunjang</t>
  </si>
  <si>
    <t>Total biaya penunjang (Rp)</t>
  </si>
  <si>
    <t>TOTAL BOBOT</t>
  </si>
  <si>
    <t>7. ALOKASI PENUNJANG MEDIS KE LAYANAN: Total Biaya Penunjang × Bobot ÷ Σ Bobot</t>
  </si>
  <si>
    <t>Pusat Biaya Layanan</t>
  </si>
  <si>
    <t>Penunjang Umum</t>
  </si>
  <si>
    <t>Penunjang Klinis</t>
  </si>
  <si>
    <t>Selisih terhadap total biaya penunjang (harus 0)</t>
  </si>
  <si>
    <t>8. HASIL UNIT COST PER PUSAT BIAYA LAYANAN PASIEN</t>
  </si>
  <si>
    <t>Dasar Volume</t>
  </si>
  <si>
    <t>Biaya Langsung</t>
  </si>
  <si>
    <t>Biaya untuk Unit Cost</t>
  </si>
  <si>
    <t>Volume (Hari Rawat / Kunjungan)</t>
  </si>
  <si>
    <t>UNIT COST (Rp)</t>
  </si>
  <si>
    <t>Target Min (Rp, opsional)</t>
  </si>
  <si>
    <t>Target Max (Rp, opsional)</t>
  </si>
  <si>
    <t>Status Target</t>
  </si>
  <si>
    <t>Biaya Penuh</t>
  </si>
  <si>
    <t>Unit Cost Penuh (Rp)</t>
  </si>
  <si>
    <t>9. UJI KEWAJARAN RASIO</t>
  </si>
  <si>
    <t>Rawat Inap</t>
  </si>
  <si>
    <t>Staf per Tempat Tidur</t>
  </si>
  <si>
    <t>Batas Min</t>
  </si>
  <si>
    <t>Batas Max</t>
  </si>
  <si>
    <t>Status ALOS</t>
  </si>
  <si>
    <t>Status Staf</t>
  </si>
  <si>
    <t>IGD</t>
  </si>
  <si>
    <t>Kunjungan Setahun</t>
  </si>
  <si>
    <t>Kunjungan per Hari</t>
  </si>
  <si>
    <t>Staf per 10 Kunjungan per Hari</t>
  </si>
  <si>
    <t>10. REKONSILIASI KE DATA LO LAPKEU</t>
  </si>
  <si>
    <t>Komponen</t>
  </si>
  <si>
    <t>Costing Template (Rp)</t>
  </si>
  <si>
    <t>Data LO Lapkeu (Rp)</t>
  </si>
  <si>
    <t>Selisih (Rp)</t>
  </si>
  <si>
    <t>TOTAL BEBAN</t>
  </si>
  <si>
    <t>Σ Biaya penuh pusat biaya layanan setelah alokasi</t>
  </si>
  <si>
    <t>Overhead teralokasi seluruhnya</t>
  </si>
  <si>
    <t>STATUS AKHIR SELURUH CEK</t>
  </si>
  <si>
    <t>Wajib. Teks 5 sampai 100 karakter</t>
  </si>
  <si>
    <t xml:space="preserve">Kelas 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</si>
</sst>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dd\-mm\-yyyy"/>
    <numFmt numFmtId="166" formatCode="#,##0.0"/>
  </numFmts>
  <fonts count="8" x14ac:knownFonts="1">
    <font>
      <sz val="11"/>
      <color theme="1"/>
      <name val="Calibri"/>
      <family val="2"/>
      <charset val="1"/>
    </font>
    <font>
      <b/>
      <sz val="11"/>
      <color rgb="FFFFFFFF"/>
      <name val="Arial"/>
      <charset val="1"/>
    </font>
    <font>
      <b/>
      <sz val="11"/>
      <color rgb="FF14213D"/>
      <name val="Arial"/>
      <charset val="1"/>
    </font>
    <font>
      <sz val="11"/>
      <color rgb="FF14213D"/>
      <name val="Arial"/>
      <charset val="1"/>
    </font>
    <font>
      <sz val="11"/>
      <color rgb="FF1D4ED8"/>
      <name val="Arial"/>
      <charset val="1"/>
    </font>
    <font>
      <sz val="10"/>
      <color rgb="FF5B6678"/>
      <name val="Arial"/>
      <charset val="1"/>
    </font>
    <font>
      <sz val="10"/>
      <color rgb="FF14213D"/>
      <name val="Arial"/>
      <charset val="1"/>
    </font>
    <font>
      <b/>
      <sz val="10"/>
      <color rgb="FF14213D"/>
      <name val="Arial"/>
      <charset val="1"/>
    </font>
  </fonts>
  <fills count="7">
    <fill>
      <patternFill patternType="none"/>
    </fill>
    <fill>
      <patternFill patternType="gray125"/>
    </fill>
    <fill>
      <patternFill patternType="solid">
        <fgColor rgb="FF0B1F3A"/>
        <bgColor rgb="FF14213D"/>
      </patternFill>
    </fill>
    <fill>
      <patternFill patternType="solid">
        <fgColor rgb="FF27406B"/>
        <bgColor rgb="FF14213D"/>
      </patternFill>
    </fill>
    <fill>
      <patternFill patternType="solid">
        <fgColor rgb="FFFFF7DA"/>
        <bgColor rgb="FFFFF1C2"/>
      </patternFill>
    </fill>
    <fill>
      <patternFill patternType="solid">
        <fgColor rgb="FFF4F6FA"/>
        <bgColor rgb="FFFFFFFF"/>
      </patternFill>
    </fill>
    <fill>
      <patternFill patternType="solid">
        <fgColor rgb="FFE8EDF6"/>
        <bgColor rgb="FFF4F6FA"/>
      </patternFill>
    </fill>
  </fills>
  <borders count="1">
    <border>
      <left/>
      <right/>
      <top/>
      <bottom/>
      <diagonal/>
    </border>
  </borders>
  <cellStyleXfs count="1">
    <xf numFmtId="0" fontId="0" fillId="0" borderId="0"/>
  </cellStyleXfs>
  <cellXfs count="59">
    <xf numFmtId="0" fontId="0" fillId="0" borderId="0" xfId="0"/>
    <xf numFmtId="0" fontId="6" fillId="0" borderId="0" xfId="0" applyFont="1" applyAlignment="1">
      <alignment vertical="top" wrapText="1"/>
    </xf>
    <xf numFmtId="0" fontId="1" fillId="2" borderId="0" xfId="0" applyFont="1" applyFill="1" applyAlignment="1">
      <alignment horizontal="center" vertical="center" wrapText="1"/>
    </xf>
    <xf numFmtId="0" fontId="0" fillId="0" borderId="0" xfId="0" applyAlignment="1">
      <alignment wrapText="1"/>
    </xf>
    <xf numFmtId="0" fontId="1" fillId="2" borderId="0" xfId="0" applyFont="1" applyFill="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1" fillId="3" borderId="0" xfId="0" applyFont="1" applyFill="1" applyAlignment="1">
      <alignment vertical="top" wrapText="1"/>
    </xf>
    <xf numFmtId="0" fontId="4" fillId="4" borderId="0" xfId="0" applyFont="1" applyFill="1" applyAlignment="1">
      <alignment vertical="top" wrapText="1"/>
    </xf>
    <xf numFmtId="0" fontId="3" fillId="5" borderId="0" xfId="0" applyFont="1" applyFill="1" applyAlignment="1">
      <alignment vertical="top" wrapText="1"/>
    </xf>
    <xf numFmtId="0" fontId="0" fillId="3" borderId="0" xfId="0" applyFill="1"/>
    <xf numFmtId="0" fontId="1" fillId="2" borderId="0" xfId="0" applyFont="1" applyFill="1" applyAlignment="1">
      <alignment horizontal="center" vertical="center" wrapText="1"/>
    </xf>
    <xf numFmtId="0" fontId="5" fillId="0" borderId="0" xfId="0" applyFont="1" applyAlignment="1">
      <alignment vertical="top" wrapText="1"/>
    </xf>
    <xf numFmtId="0" fontId="7" fillId="0" borderId="0" xfId="0" applyFont="1" applyAlignment="1">
      <alignment vertical="top"/>
    </xf>
    <xf numFmtId="2" fontId="3" fillId="5" borderId="0" xfId="0" applyNumberFormat="1" applyFont="1" applyFill="1" applyAlignment="1">
      <alignment vertical="top" wrapText="1"/>
    </xf>
    <xf numFmtId="3" fontId="3" fillId="5" borderId="0" xfId="0" applyNumberFormat="1" applyFont="1" applyFill="1" applyAlignment="1">
      <alignment vertical="top" wrapText="1"/>
    </xf>
    <xf numFmtId="0" fontId="2" fillId="6" borderId="0" xfId="0" applyFont="1" applyFill="1" applyAlignment="1">
      <alignment vertical="top" wrapText="1"/>
    </xf>
    <xf numFmtId="3" fontId="2" fillId="6" borderId="0" xfId="0" applyNumberFormat="1" applyFont="1" applyFill="1" applyAlignment="1">
      <alignment vertical="top" wrapText="1"/>
    </xf>
    <xf numFmtId="0" fontId="7" fillId="6" borderId="0" xfId="0" applyFont="1" applyFill="1" applyAlignment="1">
      <alignment vertical="top"/>
    </xf>
    <xf numFmtId="3" fontId="4" fillId="4" borderId="0" xfId="0" applyNumberFormat="1" applyFont="1" applyFill="1" applyAlignment="1" applyProtection="1">
      <alignment vertical="top" wrapText="1"/>
      <protection locked="0"/>
    </xf>
    <xf numFmtId="164" fontId="3" fillId="5" borderId="0" xfId="0" applyNumberFormat="1" applyFont="1" applyFill="1" applyAlignment="1">
      <alignment vertical="top" wrapText="1"/>
    </xf>
    <xf numFmtId="2" fontId="2" fillId="6" borderId="0" xfId="0" applyNumberFormat="1" applyFont="1" applyFill="1" applyAlignment="1">
      <alignment vertical="top" wrapText="1"/>
    </xf>
    <xf numFmtId="164" fontId="2" fillId="6" borderId="0" xfId="0" applyNumberFormat="1" applyFont="1" applyFill="1" applyAlignment="1">
      <alignment vertical="top" wrapText="1"/>
    </xf>
    <xf numFmtId="0" fontId="5" fillId="0" borderId="0" xfId="0" applyFont="1" applyAlignment="1">
      <alignment vertical="top"/>
    </xf>
    <xf numFmtId="0" fontId="1" fillId="3" borderId="0" xfId="0" applyFont="1" applyFill="1" applyAlignment="1">
      <alignment vertical="center"/>
    </xf>
    <xf numFmtId="0" fontId="1" fillId="2" borderId="0" xfId="0" applyFont="1" applyFill="1" applyAlignment="1">
      <alignment vertical="center"/>
    </xf>
    <xf numFmtId="0" fontId="1" fillId="2" borderId="0" xfId="0" applyFont="1" applyFill="1" applyAlignment="1">
      <alignment vertical="top"/>
    </xf>
    <xf numFmtId="1" fontId="4" fillId="4" borderId="0" xfId="0" applyNumberFormat="1" applyFont="1" applyFill="1" applyAlignment="1" applyProtection="1">
      <alignment vertical="top"/>
      <protection locked="0"/>
    </xf>
    <xf numFmtId="0" fontId="3" fillId="0" borderId="0" xfId="0" applyFont="1" applyAlignment="1">
      <alignment vertical="top"/>
    </xf>
    <xf numFmtId="0" fontId="4" fillId="4" borderId="0" xfId="0" applyFont="1" applyFill="1" applyAlignment="1" applyProtection="1">
      <alignment vertical="top"/>
      <protection locked="0"/>
    </xf>
    <xf numFmtId="0" fontId="2" fillId="0" borderId="0" xfId="0" applyFont="1" applyAlignment="1">
      <alignment vertical="top"/>
    </xf>
    <xf numFmtId="0" fontId="1" fillId="2" borderId="0" xfId="0" applyFont="1" applyFill="1" applyAlignment="1">
      <alignment horizontal="center" vertical="top" wrapText="1"/>
    </xf>
    <xf numFmtId="3" fontId="4" fillId="4" borderId="0" xfId="0" applyNumberFormat="1" applyFont="1" applyFill="1" applyAlignment="1" applyProtection="1">
      <alignment vertical="top"/>
      <protection locked="0"/>
    </xf>
    <xf numFmtId="3" fontId="3" fillId="5" borderId="0" xfId="0" applyNumberFormat="1" applyFont="1" applyFill="1" applyAlignment="1">
      <alignment vertical="top"/>
    </xf>
    <xf numFmtId="166" fontId="4" fillId="4" borderId="0" xfId="0" applyNumberFormat="1" applyFont="1" applyFill="1" applyAlignment="1" applyProtection="1">
      <alignment vertical="top"/>
      <protection locked="0"/>
    </xf>
    <xf numFmtId="0" fontId="2" fillId="6" borderId="0" xfId="0" applyFont="1" applyFill="1" applyAlignment="1">
      <alignment vertical="top"/>
    </xf>
    <xf numFmtId="3" fontId="2" fillId="6" borderId="0" xfId="0" applyNumberFormat="1" applyFont="1" applyFill="1" applyAlignment="1">
      <alignment vertical="top"/>
    </xf>
    <xf numFmtId="3" fontId="4" fillId="4" borderId="0" xfId="0" applyNumberFormat="1" applyFont="1" applyFill="1" applyAlignment="1">
      <alignment vertical="top"/>
    </xf>
    <xf numFmtId="2" fontId="3" fillId="5" borderId="0" xfId="0" applyNumberFormat="1" applyFont="1" applyFill="1" applyAlignment="1">
      <alignment vertical="top"/>
    </xf>
    <xf numFmtId="0" fontId="1" fillId="3" borderId="0" xfId="0" applyFont="1" applyFill="1" applyAlignment="1">
      <alignment vertical="top"/>
    </xf>
    <xf numFmtId="0" fontId="1" fillId="2" borderId="0" xfId="0" applyFont="1" applyFill="1" applyAlignment="1">
      <alignment horizontal="center" vertical="top"/>
    </xf>
    <xf numFmtId="0" fontId="3" fillId="5" borderId="0" xfId="0" applyFont="1" applyFill="1" applyAlignment="1">
      <alignment vertical="top"/>
    </xf>
    <xf numFmtId="0" fontId="3" fillId="5" borderId="0" xfId="0" applyFont="1" applyFill="1" applyAlignment="1">
      <alignment horizontal="center" vertical="top"/>
    </xf>
    <xf numFmtId="1" fontId="3" fillId="5" borderId="0" xfId="0" applyNumberFormat="1" applyFont="1" applyFill="1" applyAlignment="1">
      <alignment horizontal="center" vertical="top"/>
    </xf>
    <xf numFmtId="164" fontId="3" fillId="5" borderId="0" xfId="0" applyNumberFormat="1" applyFont="1" applyFill="1" applyAlignment="1">
      <alignment vertical="top"/>
    </xf>
    <xf numFmtId="164" fontId="4" fillId="4" borderId="0" xfId="0" applyNumberFormat="1" applyFont="1" applyFill="1" applyAlignment="1" applyProtection="1">
      <alignment vertical="top"/>
      <protection locked="0"/>
    </xf>
    <xf numFmtId="0" fontId="1" fillId="2" borderId="0" xfId="0" applyFont="1" applyFill="1" applyAlignment="1">
      <alignment horizontal="center" vertical="center"/>
    </xf>
    <xf numFmtId="0" fontId="0" fillId="0" borderId="0" xfId="0" applyAlignment="1"/>
    <xf numFmtId="0" fontId="6" fillId="0" borderId="0" xfId="0" applyFont="1" applyAlignment="1">
      <alignment vertical="top"/>
    </xf>
    <xf numFmtId="0" fontId="6" fillId="6" borderId="0" xfId="0" applyFont="1" applyFill="1" applyAlignment="1">
      <alignment vertical="top"/>
    </xf>
    <xf numFmtId="49" fontId="4" fillId="4" borderId="0" xfId="0" applyNumberFormat="1" applyFont="1" applyFill="1" applyAlignment="1" applyProtection="1">
      <alignment vertical="top"/>
      <protection locked="0"/>
    </xf>
    <xf numFmtId="165" fontId="4" fillId="4" borderId="0" xfId="0" applyNumberFormat="1" applyFont="1" applyFill="1" applyAlignment="1" applyProtection="1">
      <alignment vertical="top"/>
      <protection locked="0"/>
    </xf>
    <xf numFmtId="0" fontId="1" fillId="2" borderId="0" xfId="0" applyFont="1" applyFill="1" applyAlignment="1">
      <alignment horizontal="left" vertical="top" wrapText="1"/>
    </xf>
    <xf numFmtId="0" fontId="1" fillId="3" borderId="0" xfId="0" applyFont="1" applyFill="1" applyAlignment="1">
      <alignment horizontal="left" vertical="top" wrapText="1"/>
    </xf>
    <xf numFmtId="0" fontId="0" fillId="3" borderId="0" xfId="0" applyFill="1" applyAlignment="1"/>
    <xf numFmtId="0" fontId="0" fillId="6" borderId="0" xfId="0" applyFill="1" applyAlignment="1"/>
    <xf numFmtId="0" fontId="3" fillId="0" borderId="0" xfId="0" applyFont="1" applyAlignment="1"/>
    <xf numFmtId="0" fontId="1" fillId="2" borderId="0" xfId="0" applyFont="1" applyFill="1" applyAlignment="1">
      <alignment horizontal="center" vertical="center"/>
    </xf>
    <xf numFmtId="0" fontId="6" fillId="0" borderId="0" xfId="0" applyFont="1" applyAlignment="1">
      <alignment vertical="top"/>
    </xf>
  </cellXfs>
  <cellStyles count="1">
    <cellStyle name="Normal" xfId="0" builtinId="0"/>
  </cellStyles>
  <dxfs count="27">
    <dxf>
      <font>
        <b/>
        <color rgb="FF92400E"/>
      </font>
      <fill>
        <patternFill>
          <bgColor rgb="FFFFF1C2"/>
        </patternFill>
      </fill>
    </dxf>
    <dxf>
      <font>
        <b/>
        <color rgb="FF991B1B"/>
      </font>
      <fill>
        <patternFill>
          <bgColor rgb="FFFAD4D4"/>
        </patternFill>
      </fill>
    </dxf>
    <dxf>
      <font>
        <b/>
        <color rgb="FF166534"/>
      </font>
      <fill>
        <patternFill>
          <bgColor rgb="FFD7F0DD"/>
        </patternFill>
      </fill>
    </dxf>
    <dxf>
      <font>
        <b/>
        <color rgb="FF92400E"/>
      </font>
      <fill>
        <patternFill>
          <bgColor rgb="FFFFF1C2"/>
        </patternFill>
      </fill>
    </dxf>
    <dxf>
      <font>
        <b/>
        <color rgb="FF991B1B"/>
      </font>
      <fill>
        <patternFill>
          <bgColor rgb="FFFAD4D4"/>
        </patternFill>
      </fill>
    </dxf>
    <dxf>
      <font>
        <b/>
        <color rgb="FF166534"/>
      </font>
      <fill>
        <patternFill>
          <bgColor rgb="FFD7F0DD"/>
        </patternFill>
      </fill>
    </dxf>
    <dxf>
      <font>
        <b/>
        <color rgb="FF92400E"/>
      </font>
      <fill>
        <patternFill>
          <bgColor rgb="FFFFF1C2"/>
        </patternFill>
      </fill>
    </dxf>
    <dxf>
      <font>
        <b/>
        <color rgb="FF991B1B"/>
      </font>
      <fill>
        <patternFill>
          <bgColor rgb="FFFAD4D4"/>
        </patternFill>
      </fill>
    </dxf>
    <dxf>
      <font>
        <b/>
        <color rgb="FF166534"/>
      </font>
      <fill>
        <patternFill>
          <bgColor rgb="FFD7F0DD"/>
        </patternFill>
      </fill>
    </dxf>
    <dxf>
      <font>
        <b/>
        <color rgb="FF92400E"/>
      </font>
      <fill>
        <patternFill>
          <bgColor rgb="FFFFF1C2"/>
        </patternFill>
      </fill>
    </dxf>
    <dxf>
      <font>
        <b/>
        <color rgb="FF991B1B"/>
      </font>
      <fill>
        <patternFill>
          <bgColor rgb="FFFAD4D4"/>
        </patternFill>
      </fill>
    </dxf>
    <dxf>
      <font>
        <b/>
        <color rgb="FF166534"/>
      </font>
      <fill>
        <patternFill>
          <bgColor rgb="FFD7F0DD"/>
        </patternFill>
      </fill>
    </dxf>
    <dxf>
      <font>
        <b/>
        <color rgb="FF92400E"/>
      </font>
      <fill>
        <patternFill>
          <bgColor rgb="FFFFF1C2"/>
        </patternFill>
      </fill>
    </dxf>
    <dxf>
      <font>
        <b/>
        <color rgb="FF991B1B"/>
      </font>
      <fill>
        <patternFill>
          <bgColor rgb="FFFAD4D4"/>
        </patternFill>
      </fill>
    </dxf>
    <dxf>
      <font>
        <b/>
        <color rgb="FF166534"/>
      </font>
      <fill>
        <patternFill>
          <bgColor rgb="FFD7F0DD"/>
        </patternFill>
      </fill>
    </dxf>
    <dxf>
      <font>
        <b/>
        <color rgb="FF92400E"/>
      </font>
      <fill>
        <patternFill>
          <bgColor rgb="FFFFF1C2"/>
        </patternFill>
      </fill>
    </dxf>
    <dxf>
      <font>
        <b/>
        <color rgb="FF991B1B"/>
      </font>
      <fill>
        <patternFill>
          <bgColor rgb="FFFAD4D4"/>
        </patternFill>
      </fill>
    </dxf>
    <dxf>
      <font>
        <b/>
        <color rgb="FF166534"/>
      </font>
      <fill>
        <patternFill>
          <bgColor rgb="FFD7F0DD"/>
        </patternFill>
      </fill>
    </dxf>
    <dxf>
      <font>
        <b/>
        <color rgb="FF92400E"/>
      </font>
      <fill>
        <patternFill>
          <bgColor rgb="FFFFF1C2"/>
        </patternFill>
      </fill>
    </dxf>
    <dxf>
      <font>
        <b/>
        <color rgb="FF991B1B"/>
      </font>
      <fill>
        <patternFill>
          <bgColor rgb="FFFAD4D4"/>
        </patternFill>
      </fill>
    </dxf>
    <dxf>
      <font>
        <b/>
        <color rgb="FF166534"/>
      </font>
      <fill>
        <patternFill>
          <bgColor rgb="FFD7F0DD"/>
        </patternFill>
      </fill>
    </dxf>
    <dxf>
      <font>
        <b/>
        <color rgb="FF92400E"/>
      </font>
      <fill>
        <patternFill>
          <bgColor rgb="FFFFF1C2"/>
        </patternFill>
      </fill>
    </dxf>
    <dxf>
      <font>
        <b/>
        <color rgb="FF991B1B"/>
      </font>
      <fill>
        <patternFill>
          <bgColor rgb="FFFAD4D4"/>
        </patternFill>
      </fill>
    </dxf>
    <dxf>
      <font>
        <b/>
        <color rgb="FF166534"/>
      </font>
      <fill>
        <patternFill>
          <bgColor rgb="FFD7F0DD"/>
        </patternFill>
      </fill>
    </dxf>
    <dxf>
      <font>
        <b/>
        <color rgb="FF92400E"/>
      </font>
      <fill>
        <patternFill>
          <bgColor rgb="FFFFF1C2"/>
        </patternFill>
      </fill>
    </dxf>
    <dxf>
      <font>
        <b/>
        <color rgb="FF991B1B"/>
      </font>
      <fill>
        <patternFill>
          <bgColor rgb="FFFAD4D4"/>
        </patternFill>
      </fill>
    </dxf>
    <dxf>
      <font>
        <b/>
        <color rgb="FF166534"/>
      </font>
      <fill>
        <patternFill>
          <bgColor rgb="FFD7F0D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91B1B"/>
      <rgbColor rgb="FF166534"/>
      <rgbColor rgb="FF000080"/>
      <rgbColor rgb="FF808000"/>
      <rgbColor rgb="FF800080"/>
      <rgbColor rgb="FF008080"/>
      <rgbColor rgb="FFC0C0C0"/>
      <rgbColor rgb="FF808080"/>
      <rgbColor rgb="FF9999FF"/>
      <rgbColor rgb="FF993366"/>
      <rgbColor rgb="FFFFF7DA"/>
      <rgbColor rgb="FFE8EDF6"/>
      <rgbColor rgb="FF660066"/>
      <rgbColor rgb="FFFF8080"/>
      <rgbColor rgb="FF1D4ED8"/>
      <rgbColor rgb="FFCCCCFF"/>
      <rgbColor rgb="FF000080"/>
      <rgbColor rgb="FFFF00FF"/>
      <rgbColor rgb="FFFFFF00"/>
      <rgbColor rgb="FF00FFFF"/>
      <rgbColor rgb="FF800080"/>
      <rgbColor rgb="FF800000"/>
      <rgbColor rgb="FF008080"/>
      <rgbColor rgb="FF0000FF"/>
      <rgbColor rgb="FF00CCFF"/>
      <rgbColor rgb="FFF4F6FA"/>
      <rgbColor rgb="FFD7F0DD"/>
      <rgbColor rgb="FFFFF1C2"/>
      <rgbColor rgb="FF99CCFF"/>
      <rgbColor rgb="FFFF99CC"/>
      <rgbColor rgb="FFCC99FF"/>
      <rgbColor rgb="FFFAD4D4"/>
      <rgbColor rgb="FF3366FF"/>
      <rgbColor rgb="FF33CCCC"/>
      <rgbColor rgb="FF99CC00"/>
      <rgbColor rgb="FFFFCC00"/>
      <rgbColor rgb="FFFF9900"/>
      <rgbColor rgb="FFFF6600"/>
      <rgbColor rgb="FF5B6678"/>
      <rgbColor rgb="FF969696"/>
      <rgbColor rgb="FF0B1F3A"/>
      <rgbColor rgb="FF339966"/>
      <rgbColor rgb="FF003300"/>
      <rgbColor rgb="FF333300"/>
      <rgbColor rgb="FF92400E"/>
      <rgbColor rgb="FF993366"/>
      <rgbColor rgb="FF27406B"/>
      <rgbColor rgb="FF1421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2"/>
  <sheetViews>
    <sheetView topLeftCell="A97" zoomScaleNormal="100" workbookViewId="0">
      <selection activeCell="B21" sqref="B21"/>
    </sheetView>
  </sheetViews>
  <sheetFormatPr defaultColWidth="8.6640625" defaultRowHeight="14.4" x14ac:dyDescent="0.3"/>
  <cols>
    <col min="1" max="1" width="29.88671875" style="3" bestFit="1" customWidth="1"/>
    <col min="2" max="2" width="101.44140625" style="3" customWidth="1"/>
    <col min="3" max="16384" width="8.6640625" style="3"/>
  </cols>
  <sheetData>
    <row r="1" spans="1:2" x14ac:dyDescent="0.3">
      <c r="A1" s="52" t="s">
        <v>0</v>
      </c>
      <c r="B1" s="52"/>
    </row>
    <row r="2" spans="1:2" ht="27.6" x14ac:dyDescent="0.3">
      <c r="A2" s="5" t="s">
        <v>1</v>
      </c>
      <c r="B2" s="6" t="s">
        <v>2</v>
      </c>
    </row>
    <row r="3" spans="1:2" ht="27.6" x14ac:dyDescent="0.3">
      <c r="A3" s="5" t="s">
        <v>3</v>
      </c>
      <c r="B3" s="6" t="s">
        <v>4</v>
      </c>
    </row>
    <row r="4" spans="1:2" x14ac:dyDescent="0.3">
      <c r="A4" s="5" t="s">
        <v>5</v>
      </c>
      <c r="B4" s="6" t="s">
        <v>6</v>
      </c>
    </row>
    <row r="5" spans="1:2" ht="41.4" x14ac:dyDescent="0.3">
      <c r="A5" s="5" t="s">
        <v>7</v>
      </c>
      <c r="B5" s="6" t="s">
        <v>8</v>
      </c>
    </row>
    <row r="7" spans="1:2" x14ac:dyDescent="0.3">
      <c r="A7" s="53" t="s">
        <v>9</v>
      </c>
      <c r="B7" s="53"/>
    </row>
    <row r="8" spans="1:2" x14ac:dyDescent="0.3">
      <c r="A8" s="5" t="s">
        <v>10</v>
      </c>
      <c r="B8" s="6" t="s">
        <v>11</v>
      </c>
    </row>
    <row r="9" spans="1:2" x14ac:dyDescent="0.3">
      <c r="A9" s="5" t="s">
        <v>12</v>
      </c>
      <c r="B9" s="6" t="s">
        <v>13</v>
      </c>
    </row>
    <row r="10" spans="1:2" x14ac:dyDescent="0.3">
      <c r="A10" s="5" t="s">
        <v>14</v>
      </c>
      <c r="B10" s="6" t="s">
        <v>15</v>
      </c>
    </row>
    <row r="11" spans="1:2" x14ac:dyDescent="0.3">
      <c r="A11" s="5" t="s">
        <v>16</v>
      </c>
      <c r="B11" s="6" t="s">
        <v>17</v>
      </c>
    </row>
    <row r="12" spans="1:2" x14ac:dyDescent="0.3">
      <c r="A12" s="5" t="s">
        <v>18</v>
      </c>
      <c r="B12" s="6" t="s">
        <v>19</v>
      </c>
    </row>
    <row r="13" spans="1:2" x14ac:dyDescent="0.3">
      <c r="A13" s="5" t="s">
        <v>20</v>
      </c>
      <c r="B13" s="6" t="s">
        <v>21</v>
      </c>
    </row>
    <row r="15" spans="1:2" x14ac:dyDescent="0.3">
      <c r="A15" s="7" t="s">
        <v>22</v>
      </c>
      <c r="B15" s="7"/>
    </row>
    <row r="16" spans="1:2" x14ac:dyDescent="0.3">
      <c r="A16" s="5" t="s">
        <v>23</v>
      </c>
      <c r="B16" s="6" t="s">
        <v>24</v>
      </c>
    </row>
    <row r="17" spans="1:2" x14ac:dyDescent="0.3">
      <c r="A17" s="5" t="s">
        <v>25</v>
      </c>
      <c r="B17" s="6" t="s">
        <v>26</v>
      </c>
    </row>
    <row r="18" spans="1:2" x14ac:dyDescent="0.3">
      <c r="A18" s="5" t="s">
        <v>27</v>
      </c>
      <c r="B18" s="6" t="s">
        <v>28</v>
      </c>
    </row>
    <row r="19" spans="1:2" x14ac:dyDescent="0.3">
      <c r="A19" s="5" t="s">
        <v>29</v>
      </c>
      <c r="B19" s="6" t="s">
        <v>30</v>
      </c>
    </row>
    <row r="20" spans="1:2" x14ac:dyDescent="0.3">
      <c r="A20" s="5" t="s">
        <v>31</v>
      </c>
      <c r="B20" s="6" t="s">
        <v>32</v>
      </c>
    </row>
    <row r="21" spans="1:2" ht="27.6" x14ac:dyDescent="0.3">
      <c r="A21" s="5" t="s">
        <v>33</v>
      </c>
      <c r="B21" s="6" t="s">
        <v>34</v>
      </c>
    </row>
    <row r="23" spans="1:2" x14ac:dyDescent="0.3">
      <c r="A23" s="7" t="s">
        <v>35</v>
      </c>
      <c r="B23" s="7"/>
    </row>
    <row r="24" spans="1:2" ht="41.4" x14ac:dyDescent="0.3">
      <c r="A24" s="5" t="s">
        <v>36</v>
      </c>
      <c r="B24" s="6" t="s">
        <v>37</v>
      </c>
    </row>
    <row r="25" spans="1:2" ht="27.6" x14ac:dyDescent="0.3">
      <c r="A25" s="5" t="s">
        <v>38</v>
      </c>
      <c r="B25" s="6" t="s">
        <v>39</v>
      </c>
    </row>
    <row r="26" spans="1:2" ht="41.4" x14ac:dyDescent="0.3">
      <c r="A26" s="5" t="s">
        <v>40</v>
      </c>
      <c r="B26" s="6" t="s">
        <v>41</v>
      </c>
    </row>
    <row r="27" spans="1:2" ht="27.6" x14ac:dyDescent="0.3">
      <c r="A27" s="5" t="s">
        <v>42</v>
      </c>
      <c r="B27" s="6" t="s">
        <v>43</v>
      </c>
    </row>
    <row r="28" spans="1:2" ht="41.4" x14ac:dyDescent="0.3">
      <c r="A28" s="5" t="s">
        <v>44</v>
      </c>
      <c r="B28" s="6" t="s">
        <v>45</v>
      </c>
    </row>
    <row r="29" spans="1:2" ht="41.4" x14ac:dyDescent="0.3">
      <c r="A29" s="5" t="s">
        <v>46</v>
      </c>
      <c r="B29" s="6" t="s">
        <v>47</v>
      </c>
    </row>
    <row r="30" spans="1:2" ht="41.4" x14ac:dyDescent="0.3">
      <c r="A30" s="5" t="s">
        <v>48</v>
      </c>
      <c r="B30" s="6" t="s">
        <v>49</v>
      </c>
    </row>
    <row r="31" spans="1:2" ht="27.6" x14ac:dyDescent="0.3">
      <c r="A31" s="5" t="s">
        <v>50</v>
      </c>
      <c r="B31" s="6" t="s">
        <v>51</v>
      </c>
    </row>
    <row r="32" spans="1:2" ht="41.4" x14ac:dyDescent="0.3">
      <c r="A32" s="5" t="s">
        <v>52</v>
      </c>
      <c r="B32" s="6" t="s">
        <v>53</v>
      </c>
    </row>
    <row r="33" spans="1:2" ht="41.4" x14ac:dyDescent="0.3">
      <c r="A33" s="5" t="s">
        <v>54</v>
      </c>
      <c r="B33" s="6" t="s">
        <v>55</v>
      </c>
    </row>
    <row r="34" spans="1:2" ht="27.6" x14ac:dyDescent="0.3">
      <c r="A34" s="5" t="s">
        <v>56</v>
      </c>
      <c r="B34" s="6" t="s">
        <v>57</v>
      </c>
    </row>
    <row r="35" spans="1:2" ht="27.6" x14ac:dyDescent="0.3">
      <c r="A35" s="5" t="s">
        <v>58</v>
      </c>
      <c r="B35" s="6" t="s">
        <v>59</v>
      </c>
    </row>
    <row r="37" spans="1:2" x14ac:dyDescent="0.3">
      <c r="A37" s="53" t="s">
        <v>60</v>
      </c>
      <c r="B37" s="53"/>
    </row>
    <row r="38" spans="1:2" x14ac:dyDescent="0.3">
      <c r="A38" s="5" t="s">
        <v>61</v>
      </c>
      <c r="B38" s="6" t="s">
        <v>62</v>
      </c>
    </row>
    <row r="39" spans="1:2" x14ac:dyDescent="0.3">
      <c r="A39" s="5" t="s">
        <v>63</v>
      </c>
      <c r="B39" s="6" t="s">
        <v>64</v>
      </c>
    </row>
    <row r="40" spans="1:2" x14ac:dyDescent="0.3">
      <c r="A40" s="5" t="s">
        <v>65</v>
      </c>
      <c r="B40" s="6" t="s">
        <v>66</v>
      </c>
    </row>
    <row r="41" spans="1:2" x14ac:dyDescent="0.3">
      <c r="A41" s="5" t="s">
        <v>67</v>
      </c>
      <c r="B41" s="6" t="s">
        <v>68</v>
      </c>
    </row>
    <row r="42" spans="1:2" x14ac:dyDescent="0.3">
      <c r="A42" s="5" t="s">
        <v>69</v>
      </c>
      <c r="B42" s="6" t="s">
        <v>70</v>
      </c>
    </row>
    <row r="44" spans="1:2" x14ac:dyDescent="0.3">
      <c r="A44" s="53" t="s">
        <v>71</v>
      </c>
      <c r="B44" s="53"/>
    </row>
    <row r="45" spans="1:2" x14ac:dyDescent="0.3">
      <c r="A45" s="5" t="s">
        <v>72</v>
      </c>
      <c r="B45" s="6" t="s">
        <v>73</v>
      </c>
    </row>
    <row r="46" spans="1:2" x14ac:dyDescent="0.3">
      <c r="A46" s="5" t="s">
        <v>74</v>
      </c>
      <c r="B46" s="6" t="s">
        <v>75</v>
      </c>
    </row>
    <row r="47" spans="1:2" x14ac:dyDescent="0.3">
      <c r="A47" s="5" t="s">
        <v>76</v>
      </c>
      <c r="B47" s="6" t="s">
        <v>77</v>
      </c>
    </row>
    <row r="48" spans="1:2" x14ac:dyDescent="0.3">
      <c r="A48" s="5" t="s">
        <v>78</v>
      </c>
      <c r="B48" s="6" t="s">
        <v>79</v>
      </c>
    </row>
    <row r="49" spans="1:2" x14ac:dyDescent="0.3">
      <c r="A49" s="5" t="s">
        <v>80</v>
      </c>
      <c r="B49" s="6" t="s">
        <v>81</v>
      </c>
    </row>
    <row r="50" spans="1:2" ht="27.6" x14ac:dyDescent="0.3">
      <c r="A50" s="5" t="s">
        <v>82</v>
      </c>
      <c r="B50" s="6" t="s">
        <v>83</v>
      </c>
    </row>
    <row r="52" spans="1:2" x14ac:dyDescent="0.3">
      <c r="A52" s="53" t="s">
        <v>84</v>
      </c>
      <c r="B52" s="53"/>
    </row>
    <row r="53" spans="1:2" ht="27.6" x14ac:dyDescent="0.3">
      <c r="A53" s="5" t="s">
        <v>85</v>
      </c>
      <c r="B53" s="6" t="s">
        <v>86</v>
      </c>
    </row>
    <row r="54" spans="1:2" x14ac:dyDescent="0.3">
      <c r="A54" s="5" t="s">
        <v>87</v>
      </c>
      <c r="B54" s="6" t="s">
        <v>88</v>
      </c>
    </row>
    <row r="55" spans="1:2" x14ac:dyDescent="0.3">
      <c r="A55" s="5" t="s">
        <v>89</v>
      </c>
      <c r="B55" s="6" t="s">
        <v>90</v>
      </c>
    </row>
    <row r="56" spans="1:2" x14ac:dyDescent="0.3">
      <c r="A56" s="5" t="s">
        <v>91</v>
      </c>
      <c r="B56" s="6" t="s">
        <v>92</v>
      </c>
    </row>
    <row r="57" spans="1:2" ht="27.6" x14ac:dyDescent="0.3">
      <c r="A57" s="5" t="s">
        <v>93</v>
      </c>
      <c r="B57" s="6" t="s">
        <v>94</v>
      </c>
    </row>
    <row r="58" spans="1:2" ht="27.6" x14ac:dyDescent="0.3">
      <c r="A58" s="5" t="s">
        <v>95</v>
      </c>
      <c r="B58" s="6" t="s">
        <v>96</v>
      </c>
    </row>
    <row r="59" spans="1:2" ht="27.6" x14ac:dyDescent="0.3">
      <c r="A59" s="5" t="s">
        <v>97</v>
      </c>
      <c r="B59" s="6" t="s">
        <v>98</v>
      </c>
    </row>
    <row r="61" spans="1:2" x14ac:dyDescent="0.3">
      <c r="A61" s="53" t="s">
        <v>99</v>
      </c>
      <c r="B61" s="53"/>
    </row>
    <row r="62" spans="1:2" x14ac:dyDescent="0.3">
      <c r="A62" s="5" t="s">
        <v>100</v>
      </c>
      <c r="B62" s="6" t="s">
        <v>101</v>
      </c>
    </row>
    <row r="63" spans="1:2" x14ac:dyDescent="0.3">
      <c r="A63" s="5" t="s">
        <v>102</v>
      </c>
      <c r="B63" s="6" t="s">
        <v>103</v>
      </c>
    </row>
    <row r="64" spans="1:2" x14ac:dyDescent="0.3">
      <c r="A64" s="5" t="s">
        <v>104</v>
      </c>
      <c r="B64" s="6" t="s">
        <v>105</v>
      </c>
    </row>
    <row r="65" spans="1:2" x14ac:dyDescent="0.3">
      <c r="A65" s="5" t="s">
        <v>106</v>
      </c>
      <c r="B65" s="6" t="s">
        <v>107</v>
      </c>
    </row>
    <row r="66" spans="1:2" x14ac:dyDescent="0.3">
      <c r="A66" s="5" t="s">
        <v>108</v>
      </c>
      <c r="B66" s="6" t="s">
        <v>109</v>
      </c>
    </row>
    <row r="67" spans="1:2" x14ac:dyDescent="0.3">
      <c r="A67" s="5" t="s">
        <v>110</v>
      </c>
      <c r="B67" s="6" t="s">
        <v>111</v>
      </c>
    </row>
    <row r="68" spans="1:2" x14ac:dyDescent="0.3">
      <c r="A68" s="5" t="s">
        <v>112</v>
      </c>
      <c r="B68" s="6" t="s">
        <v>113</v>
      </c>
    </row>
    <row r="70" spans="1:2" x14ac:dyDescent="0.3">
      <c r="A70" s="7" t="s">
        <v>114</v>
      </c>
      <c r="B70" s="7"/>
    </row>
    <row r="71" spans="1:2" x14ac:dyDescent="0.3">
      <c r="A71" s="8" t="s">
        <v>115</v>
      </c>
      <c r="B71" s="6" t="s">
        <v>116</v>
      </c>
    </row>
    <row r="72" spans="1:2" x14ac:dyDescent="0.3">
      <c r="A72" s="9" t="s">
        <v>117</v>
      </c>
      <c r="B72" s="6" t="s">
        <v>118</v>
      </c>
    </row>
    <row r="73" spans="1:2" x14ac:dyDescent="0.3">
      <c r="A73" s="4" t="s">
        <v>119</v>
      </c>
      <c r="B73" s="6" t="s">
        <v>120</v>
      </c>
    </row>
    <row r="75" spans="1:2" x14ac:dyDescent="0.3">
      <c r="A75" s="53" t="s">
        <v>121</v>
      </c>
      <c r="B75" s="53"/>
    </row>
    <row r="76" spans="1:2" x14ac:dyDescent="0.3">
      <c r="A76" s="5" t="s">
        <v>122</v>
      </c>
      <c r="B76" s="6" t="s">
        <v>123</v>
      </c>
    </row>
    <row r="77" spans="1:2" x14ac:dyDescent="0.3">
      <c r="A77" s="5" t="s">
        <v>124</v>
      </c>
      <c r="B77" s="6" t="s">
        <v>125</v>
      </c>
    </row>
    <row r="78" spans="1:2" x14ac:dyDescent="0.3">
      <c r="A78" s="5" t="s">
        <v>126</v>
      </c>
      <c r="B78" s="6" t="s">
        <v>127</v>
      </c>
    </row>
    <row r="79" spans="1:2" x14ac:dyDescent="0.3">
      <c r="A79" s="5" t="s">
        <v>128</v>
      </c>
      <c r="B79" s="6" t="s">
        <v>129</v>
      </c>
    </row>
    <row r="80" spans="1:2" x14ac:dyDescent="0.3">
      <c r="A80" s="5" t="s">
        <v>130</v>
      </c>
      <c r="B80" s="6" t="s">
        <v>131</v>
      </c>
    </row>
    <row r="81" spans="1:2" x14ac:dyDescent="0.3">
      <c r="A81" s="5" t="s">
        <v>132</v>
      </c>
      <c r="B81" s="6" t="s">
        <v>133</v>
      </c>
    </row>
    <row r="82" spans="1:2" x14ac:dyDescent="0.3">
      <c r="A82" s="5" t="s">
        <v>134</v>
      </c>
      <c r="B82" s="6" t="s">
        <v>135</v>
      </c>
    </row>
    <row r="83" spans="1:2" x14ac:dyDescent="0.3">
      <c r="A83" s="5" t="s">
        <v>136</v>
      </c>
      <c r="B83" s="6" t="s">
        <v>137</v>
      </c>
    </row>
    <row r="84" spans="1:2" x14ac:dyDescent="0.3">
      <c r="A84" s="5" t="s">
        <v>138</v>
      </c>
      <c r="B84" s="6" t="s">
        <v>139</v>
      </c>
    </row>
    <row r="86" spans="1:2" x14ac:dyDescent="0.3">
      <c r="A86" s="7" t="s">
        <v>140</v>
      </c>
      <c r="B86" s="7"/>
    </row>
    <row r="87" spans="1:2" x14ac:dyDescent="0.3">
      <c r="A87" s="5" t="s">
        <v>141</v>
      </c>
      <c r="B87" s="6" t="s">
        <v>142</v>
      </c>
    </row>
    <row r="88" spans="1:2" ht="27.6" x14ac:dyDescent="0.3">
      <c r="A88" s="5" t="s">
        <v>143</v>
      </c>
      <c r="B88" s="6" t="s">
        <v>144</v>
      </c>
    </row>
    <row r="89" spans="1:2" ht="27.6" x14ac:dyDescent="0.3">
      <c r="A89" s="5" t="s">
        <v>145</v>
      </c>
      <c r="B89" s="6" t="s">
        <v>146</v>
      </c>
    </row>
    <row r="90" spans="1:2" x14ac:dyDescent="0.3">
      <c r="A90" s="5" t="s">
        <v>147</v>
      </c>
      <c r="B90" s="6" t="s">
        <v>148</v>
      </c>
    </row>
    <row r="91" spans="1:2" x14ac:dyDescent="0.3">
      <c r="A91" s="5" t="s">
        <v>149</v>
      </c>
      <c r="B91" s="6" t="s">
        <v>150</v>
      </c>
    </row>
    <row r="93" spans="1:2" x14ac:dyDescent="0.3">
      <c r="A93" s="7" t="s">
        <v>151</v>
      </c>
      <c r="B93" s="7"/>
    </row>
    <row r="94" spans="1:2" x14ac:dyDescent="0.3">
      <c r="A94" s="5" t="s">
        <v>152</v>
      </c>
      <c r="B94" s="6" t="s">
        <v>153</v>
      </c>
    </row>
    <row r="95" spans="1:2" x14ac:dyDescent="0.3">
      <c r="A95" s="5" t="s">
        <v>154</v>
      </c>
      <c r="B95" s="6" t="s">
        <v>155</v>
      </c>
    </row>
    <row r="96" spans="1:2" x14ac:dyDescent="0.3">
      <c r="A96" s="5" t="s">
        <v>156</v>
      </c>
      <c r="B96" s="6" t="s">
        <v>157</v>
      </c>
    </row>
    <row r="97" spans="1:2" x14ac:dyDescent="0.3">
      <c r="A97" s="5" t="s">
        <v>158</v>
      </c>
      <c r="B97" s="6" t="s">
        <v>159</v>
      </c>
    </row>
    <row r="98" spans="1:2" x14ac:dyDescent="0.3">
      <c r="A98" s="5" t="s">
        <v>160</v>
      </c>
      <c r="B98" s="6" t="s">
        <v>161</v>
      </c>
    </row>
    <row r="99" spans="1:2" x14ac:dyDescent="0.3">
      <c r="A99" s="5" t="s">
        <v>162</v>
      </c>
      <c r="B99" s="6" t="s">
        <v>163</v>
      </c>
    </row>
    <row r="101" spans="1:2" x14ac:dyDescent="0.3">
      <c r="A101" s="53" t="s">
        <v>164</v>
      </c>
      <c r="B101" s="53"/>
    </row>
    <row r="102" spans="1:2" ht="27.6" x14ac:dyDescent="0.3">
      <c r="A102" s="5" t="s">
        <v>165</v>
      </c>
      <c r="B102" s="6" t="s">
        <v>166</v>
      </c>
    </row>
    <row r="103" spans="1:2" ht="27.6" x14ac:dyDescent="0.3">
      <c r="A103" s="5" t="s">
        <v>167</v>
      </c>
      <c r="B103" s="6" t="s">
        <v>168</v>
      </c>
    </row>
    <row r="104" spans="1:2" x14ac:dyDescent="0.3">
      <c r="A104" s="5" t="s">
        <v>169</v>
      </c>
      <c r="B104" s="6" t="s">
        <v>170</v>
      </c>
    </row>
    <row r="105" spans="1:2" x14ac:dyDescent="0.3">
      <c r="A105" s="5" t="s">
        <v>171</v>
      </c>
      <c r="B105" s="6" t="s">
        <v>172</v>
      </c>
    </row>
    <row r="106" spans="1:2" ht="27.6" x14ac:dyDescent="0.3">
      <c r="A106" s="5" t="s">
        <v>173</v>
      </c>
      <c r="B106" s="6" t="s">
        <v>174</v>
      </c>
    </row>
    <row r="107" spans="1:2" ht="27.6" x14ac:dyDescent="0.3">
      <c r="A107" s="5" t="s">
        <v>175</v>
      </c>
      <c r="B107" s="6" t="s">
        <v>176</v>
      </c>
    </row>
    <row r="108" spans="1:2" x14ac:dyDescent="0.3">
      <c r="A108" s="5" t="s">
        <v>177</v>
      </c>
      <c r="B108" s="6" t="s">
        <v>178</v>
      </c>
    </row>
    <row r="109" spans="1:2" ht="27.6" x14ac:dyDescent="0.3">
      <c r="A109" s="5" t="s">
        <v>179</v>
      </c>
      <c r="B109" s="6" t="s">
        <v>180</v>
      </c>
    </row>
    <row r="110" spans="1:2" ht="41.4" x14ac:dyDescent="0.3">
      <c r="A110" s="5" t="s">
        <v>181</v>
      </c>
      <c r="B110" s="6" t="s">
        <v>182</v>
      </c>
    </row>
    <row r="111" spans="1:2" ht="27.6" x14ac:dyDescent="0.3">
      <c r="A111" s="5" t="s">
        <v>183</v>
      </c>
      <c r="B111" s="6" t="s">
        <v>184</v>
      </c>
    </row>
    <row r="112" spans="1:2" ht="27.6" x14ac:dyDescent="0.3">
      <c r="A112" s="5" t="s">
        <v>185</v>
      </c>
      <c r="B112" s="6" t="s">
        <v>186</v>
      </c>
    </row>
  </sheetData>
  <sheetProtection formatCells="0" formatColumns="0" formatRows="0"/>
  <mergeCells count="8">
    <mergeCell ref="A75:B75"/>
    <mergeCell ref="A101:B101"/>
    <mergeCell ref="A1:B1"/>
    <mergeCell ref="A7:B7"/>
    <mergeCell ref="A37:B37"/>
    <mergeCell ref="A44:B44"/>
    <mergeCell ref="A52:B52"/>
    <mergeCell ref="A61:B6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9"/>
  <sheetViews>
    <sheetView zoomScaleNormal="100" workbookViewId="0">
      <pane ySplit="1" topLeftCell="A2" activePane="bottomLeft" state="frozen"/>
      <selection pane="bottomLeft" activeCell="D9" sqref="D9"/>
    </sheetView>
  </sheetViews>
  <sheetFormatPr defaultColWidth="40.109375" defaultRowHeight="14.4" x14ac:dyDescent="0.3"/>
  <cols>
    <col min="1" max="1" width="41.21875" style="47" customWidth="1"/>
    <col min="2" max="2" width="22" style="47" customWidth="1"/>
    <col min="3" max="3" width="27.6640625" style="47" customWidth="1"/>
    <col min="4" max="4" width="42.33203125" style="47" customWidth="1"/>
    <col min="5" max="5" width="31.44140625" style="47" customWidth="1"/>
    <col min="6" max="6" width="28.6640625" style="47" customWidth="1"/>
    <col min="7" max="16384" width="40.109375" style="47"/>
  </cols>
  <sheetData>
    <row r="1" spans="1:6" x14ac:dyDescent="0.3">
      <c r="A1" s="26" t="s">
        <v>187</v>
      </c>
      <c r="B1" s="26" t="s">
        <v>188</v>
      </c>
      <c r="C1" s="26" t="s">
        <v>189</v>
      </c>
      <c r="D1" s="46" t="s">
        <v>190</v>
      </c>
      <c r="E1" s="46" t="s">
        <v>191</v>
      </c>
      <c r="F1" s="46" t="s">
        <v>192</v>
      </c>
    </row>
    <row r="2" spans="1:6" x14ac:dyDescent="0.3">
      <c r="A2" s="28" t="s">
        <v>193</v>
      </c>
      <c r="B2" s="29"/>
      <c r="C2" s="23" t="s">
        <v>193</v>
      </c>
      <c r="D2" s="48" t="s">
        <v>194</v>
      </c>
      <c r="E2" s="48" t="s">
        <v>796</v>
      </c>
      <c r="F2" s="13" t="str">
        <f>IF(LEN(TRIM(B2))=0,"KOSONG: isi nama RS",IF(LEN(TRIM(B2))&lt;5,"CEK: nama terlalu pendek","OK"))</f>
        <v>KOSONG: isi nama RS</v>
      </c>
    </row>
    <row r="3" spans="1:6" x14ac:dyDescent="0.3">
      <c r="A3" s="28" t="s">
        <v>195</v>
      </c>
      <c r="B3" s="29"/>
      <c r="C3" s="23" t="s">
        <v>196</v>
      </c>
      <c r="D3" s="48" t="s">
        <v>197</v>
      </c>
      <c r="E3" s="48" t="s">
        <v>198</v>
      </c>
      <c r="F3" s="13" t="str">
        <f>IF(B3="","KOSONG: pilih tipe RS",IF(ISERROR(MATCH(B3,{"A","B","C","D"},0)),"CEK: pilih A, B, C, atau D",IF(AND('Costing Template'!K2&lt;&gt;"",'Costing Template'!K2&lt;&gt;B3),"CEK: beda dengan Costing Template K2","OK")))</f>
        <v>KOSONG: pilih tipe RS</v>
      </c>
    </row>
    <row r="4" spans="1:6" x14ac:dyDescent="0.3">
      <c r="A4" s="28" t="s">
        <v>199</v>
      </c>
      <c r="B4" s="29"/>
      <c r="C4" s="23" t="s">
        <v>200</v>
      </c>
      <c r="D4" s="48" t="s">
        <v>201</v>
      </c>
      <c r="E4" s="48" t="s">
        <v>202</v>
      </c>
      <c r="F4" s="13" t="str">
        <f>IF(B4="","KOSONG: pilih kepemilikan",IF(AND('Costing Template'!N2&lt;&gt;"",'Costing Template'!N2&lt;&gt;B4),"CEK: beda dengan Costing Template N2","OK"))</f>
        <v>KOSONG: pilih kepemilikan</v>
      </c>
    </row>
    <row r="5" spans="1:6" x14ac:dyDescent="0.3">
      <c r="A5" s="28" t="s">
        <v>203</v>
      </c>
      <c r="B5" s="27"/>
      <c r="C5" s="23" t="s">
        <v>204</v>
      </c>
      <c r="D5" s="48" t="s">
        <v>205</v>
      </c>
      <c r="E5" s="48" t="s">
        <v>206</v>
      </c>
      <c r="F5" s="13" t="str">
        <f>IF(B5="","KOSONG: isi tahun data",IF(OR(NOT(ISNUMBER(B5)),B5&lt;2000,B5&gt;2100,B5&lt;&gt;INT(B5)),"CEK: isi tahun 4 digit",IF(AND('Costing Template'!B2&lt;&gt;"",'Costing Template'!B2&lt;&gt;B5),"CEK: beda dengan Costing Template B2","OK")))</f>
        <v>KOSONG: isi tahun data</v>
      </c>
    </row>
    <row r="7" spans="1:6" x14ac:dyDescent="0.3">
      <c r="A7" s="28" t="s">
        <v>207</v>
      </c>
      <c r="B7" s="38" t="str">
        <f>IFERROR('Data Operasional'!P7,"")</f>
        <v/>
      </c>
      <c r="C7" s="23" t="s">
        <v>208</v>
      </c>
      <c r="D7" s="48" t="s">
        <v>209</v>
      </c>
      <c r="E7" s="48" t="s">
        <v>210</v>
      </c>
      <c r="F7" s="13" t="str">
        <f>IF(B7="","Menunggu: Data Operasional","OK")</f>
        <v>Menunggu: Data Operasional</v>
      </c>
    </row>
    <row r="8" spans="1:6" x14ac:dyDescent="0.3">
      <c r="A8" s="28" t="s">
        <v>211</v>
      </c>
      <c r="B8" s="38" t="str">
        <f>IFERROR('Data Operasional'!O7,"")</f>
        <v/>
      </c>
      <c r="C8" s="23" t="s">
        <v>208</v>
      </c>
      <c r="D8" s="48" t="s">
        <v>212</v>
      </c>
      <c r="E8" s="48" t="s">
        <v>210</v>
      </c>
      <c r="F8" s="13" t="str">
        <f>IF(B8="","Menunggu: Data Operasional","OK")</f>
        <v>Menunggu: Data Operasional</v>
      </c>
    </row>
    <row r="9" spans="1:6" x14ac:dyDescent="0.3">
      <c r="A9" s="28" t="s">
        <v>213</v>
      </c>
      <c r="B9" s="33">
        <f>IFERROR('Data Operasional'!J7,"")</f>
        <v>0</v>
      </c>
      <c r="C9" s="23" t="s">
        <v>208</v>
      </c>
      <c r="D9" s="48" t="s">
        <v>214</v>
      </c>
      <c r="E9" s="48" t="s">
        <v>210</v>
      </c>
      <c r="F9" s="13" t="str">
        <f>IF(B9="","Menunggu: Data Operasional","OK")</f>
        <v>OK</v>
      </c>
    </row>
    <row r="10" spans="1:6" x14ac:dyDescent="0.3">
      <c r="A10" s="28" t="s">
        <v>215</v>
      </c>
      <c r="B10" s="33">
        <f>IFERROR('Data Operasional'!K7,"")</f>
        <v>0</v>
      </c>
      <c r="C10" s="23" t="s">
        <v>216</v>
      </c>
      <c r="D10" s="48" t="s">
        <v>217</v>
      </c>
      <c r="E10" s="48" t="s">
        <v>210</v>
      </c>
      <c r="F10" s="13" t="str">
        <f>IF(B10="","Menunggu: Data Operasional","OK")</f>
        <v>OK</v>
      </c>
    </row>
    <row r="11" spans="1:6" x14ac:dyDescent="0.3">
      <c r="A11" s="28" t="s">
        <v>218</v>
      </c>
      <c r="B11" s="33">
        <f>IFERROR('Data Operasional'!L7,"")</f>
        <v>0</v>
      </c>
      <c r="C11" s="23" t="s">
        <v>216</v>
      </c>
      <c r="D11" s="48" t="s">
        <v>219</v>
      </c>
      <c r="E11" s="48" t="s">
        <v>210</v>
      </c>
      <c r="F11" s="13" t="str">
        <f>IF(B11="","Menunggu: Data Operasional","OK")</f>
        <v>OK</v>
      </c>
    </row>
    <row r="12" spans="1:6" x14ac:dyDescent="0.3">
      <c r="A12" s="28" t="s">
        <v>220</v>
      </c>
      <c r="B12" s="33">
        <f>IFERROR(SUM(B33:B34),"")</f>
        <v>0</v>
      </c>
      <c r="C12" s="23" t="s">
        <v>221</v>
      </c>
      <c r="D12" s="48" t="s">
        <v>222</v>
      </c>
      <c r="E12" s="48" t="s">
        <v>210</v>
      </c>
      <c r="F12" s="13" t="str">
        <f>IF(B12="","Menunggu: tabel SDM","OK")</f>
        <v>OK</v>
      </c>
    </row>
    <row r="13" spans="1:6" x14ac:dyDescent="0.3">
      <c r="A13" s="28" t="s">
        <v>223</v>
      </c>
      <c r="B13" s="33">
        <f>IFERROR(SUM(B35:B42),"")</f>
        <v>0</v>
      </c>
      <c r="C13" s="23" t="s">
        <v>221</v>
      </c>
      <c r="D13" s="48" t="s">
        <v>224</v>
      </c>
      <c r="E13" s="48" t="s">
        <v>210</v>
      </c>
      <c r="F13" s="13" t="str">
        <f>IF(B13="","Menunggu: tabel SDM","OK")</f>
        <v>OK</v>
      </c>
    </row>
    <row r="14" spans="1:6" x14ac:dyDescent="0.3">
      <c r="A14" s="28" t="s">
        <v>225</v>
      </c>
      <c r="B14" s="33">
        <f>IFERROR(B43,"")</f>
        <v>0</v>
      </c>
      <c r="C14" s="23" t="s">
        <v>221</v>
      </c>
      <c r="D14" s="48" t="s">
        <v>226</v>
      </c>
      <c r="E14" s="48" t="s">
        <v>210</v>
      </c>
      <c r="F14" s="13" t="str">
        <f>IF(B14="","Menunggu: tabel SDM","OK")</f>
        <v>OK</v>
      </c>
    </row>
    <row r="15" spans="1:6" x14ac:dyDescent="0.3">
      <c r="A15" s="28" t="s">
        <v>227</v>
      </c>
      <c r="B15" s="33">
        <f>IFERROR('Data LO Lapkeu'!B27,"")</f>
        <v>0</v>
      </c>
      <c r="C15" s="23" t="s">
        <v>228</v>
      </c>
      <c r="D15" s="48" t="s">
        <v>229</v>
      </c>
      <c r="E15" s="48" t="s">
        <v>210</v>
      </c>
      <c r="F15" s="13" t="str">
        <f t="shared" ref="F15:F22" si="0">IF(B15="","Menunggu: Data LO Lapkeu","OK")</f>
        <v>OK</v>
      </c>
    </row>
    <row r="16" spans="1:6" x14ac:dyDescent="0.3">
      <c r="A16" s="28" t="s">
        <v>230</v>
      </c>
      <c r="B16" s="33">
        <f>IFERROR('Data LO Lapkeu'!B28+'Data LO Lapkeu'!B29,"")</f>
        <v>0</v>
      </c>
      <c r="C16" s="23" t="s">
        <v>231</v>
      </c>
      <c r="D16" s="48" t="s">
        <v>232</v>
      </c>
      <c r="E16" s="48" t="s">
        <v>210</v>
      </c>
      <c r="F16" s="13" t="str">
        <f t="shared" si="0"/>
        <v>OK</v>
      </c>
    </row>
    <row r="17" spans="1:6" x14ac:dyDescent="0.3">
      <c r="A17" s="28" t="s">
        <v>233</v>
      </c>
      <c r="B17" s="33">
        <f>IFERROR('Data LO Lapkeu'!B30,"")</f>
        <v>0</v>
      </c>
      <c r="C17" s="23" t="s">
        <v>234</v>
      </c>
      <c r="D17" s="48" t="s">
        <v>235</v>
      </c>
      <c r="E17" s="48" t="s">
        <v>210</v>
      </c>
      <c r="F17" s="13" t="str">
        <f t="shared" si="0"/>
        <v>OK</v>
      </c>
    </row>
    <row r="18" spans="1:6" x14ac:dyDescent="0.3">
      <c r="A18" s="28" t="s">
        <v>236</v>
      </c>
      <c r="B18" s="33">
        <f>IFERROR('Data LO Lapkeu'!B31+'Data LO Lapkeu'!B32,"")</f>
        <v>0</v>
      </c>
      <c r="C18" s="23" t="s">
        <v>237</v>
      </c>
      <c r="D18" s="48" t="s">
        <v>238</v>
      </c>
      <c r="E18" s="48" t="s">
        <v>210</v>
      </c>
      <c r="F18" s="13" t="str">
        <f t="shared" si="0"/>
        <v>OK</v>
      </c>
    </row>
    <row r="19" spans="1:6" x14ac:dyDescent="0.3">
      <c r="A19" s="28" t="s">
        <v>239</v>
      </c>
      <c r="B19" s="33">
        <f>IFERROR('Data LO Lapkeu'!B36,"")</f>
        <v>0</v>
      </c>
      <c r="C19" s="23" t="s">
        <v>240</v>
      </c>
      <c r="D19" s="48" t="s">
        <v>241</v>
      </c>
      <c r="E19" s="48" t="s">
        <v>210</v>
      </c>
      <c r="F19" s="13" t="str">
        <f t="shared" si="0"/>
        <v>OK</v>
      </c>
    </row>
    <row r="20" spans="1:6" x14ac:dyDescent="0.3">
      <c r="A20" s="28" t="s">
        <v>242</v>
      </c>
      <c r="B20" s="33">
        <f>IFERROR('Data LO Lapkeu'!B37,"")</f>
        <v>0</v>
      </c>
      <c r="C20" s="23" t="s">
        <v>240</v>
      </c>
      <c r="D20" s="48" t="s">
        <v>243</v>
      </c>
      <c r="E20" s="48" t="s">
        <v>210</v>
      </c>
      <c r="F20" s="13" t="str">
        <f t="shared" si="0"/>
        <v>OK</v>
      </c>
    </row>
    <row r="21" spans="1:6" x14ac:dyDescent="0.3">
      <c r="A21" s="28" t="s">
        <v>244</v>
      </c>
      <c r="B21" s="33">
        <f>IFERROR('Data LO Lapkeu'!B38,"")</f>
        <v>0</v>
      </c>
      <c r="C21" s="23" t="s">
        <v>240</v>
      </c>
      <c r="D21" s="48" t="s">
        <v>245</v>
      </c>
      <c r="E21" s="48" t="s">
        <v>210</v>
      </c>
      <c r="F21" s="13" t="str">
        <f t="shared" si="0"/>
        <v>OK</v>
      </c>
    </row>
    <row r="22" spans="1:6" x14ac:dyDescent="0.3">
      <c r="A22" s="28" t="s">
        <v>246</v>
      </c>
      <c r="B22" s="33">
        <f>IFERROR('Data LO Lapkeu'!B39,"")</f>
        <v>0</v>
      </c>
      <c r="C22" s="23" t="s">
        <v>247</v>
      </c>
      <c r="D22" s="48" t="s">
        <v>248</v>
      </c>
      <c r="E22" s="48" t="s">
        <v>210</v>
      </c>
      <c r="F22" s="13" t="str">
        <f t="shared" si="0"/>
        <v>OK</v>
      </c>
    </row>
    <row r="24" spans="1:6" x14ac:dyDescent="0.3">
      <c r="A24" s="26" t="s">
        <v>249</v>
      </c>
      <c r="B24" s="26" t="s">
        <v>250</v>
      </c>
      <c r="C24" s="26" t="s">
        <v>189</v>
      </c>
      <c r="D24" s="46" t="s">
        <v>190</v>
      </c>
      <c r="E24" s="46" t="s">
        <v>191</v>
      </c>
      <c r="F24" s="46" t="s">
        <v>192</v>
      </c>
    </row>
    <row r="25" spans="1:6" x14ac:dyDescent="0.3">
      <c r="A25" s="28" t="s">
        <v>251</v>
      </c>
      <c r="B25" s="33">
        <f>IFERROR('Data Operasional'!J2,"")</f>
        <v>0</v>
      </c>
      <c r="C25" s="23" t="str">
        <f>IFERROR("BOR "&amp;TEXT('Data Operasional'!P2,"0.0")&amp;"%, ALOS "&amp;TEXT('Data Operasional'!O2,"0.0")&amp;" hari","")</f>
        <v>BOR %, ALOS  hari</v>
      </c>
      <c r="D25" s="48" t="s">
        <v>252</v>
      </c>
      <c r="E25" s="48" t="s">
        <v>210</v>
      </c>
      <c r="F25" s="13" t="str">
        <f>IF(B25="","Menunggu: Data Operasional J2","OK")</f>
        <v>OK</v>
      </c>
    </row>
    <row r="26" spans="1:6" x14ac:dyDescent="0.3">
      <c r="A26" s="28" t="s">
        <v>253</v>
      </c>
      <c r="B26" s="33">
        <f>IFERROR('Data Operasional'!J3,"")</f>
        <v>0</v>
      </c>
      <c r="C26" s="23" t="str">
        <f>IFERROR("BOR "&amp;TEXT('Data Operasional'!P3,"0.0")&amp;"%, ALOS "&amp;TEXT('Data Operasional'!O3,"0.0")&amp;" hari","")</f>
        <v>BOR %, ALOS  hari</v>
      </c>
      <c r="D26" s="48" t="s">
        <v>254</v>
      </c>
      <c r="E26" s="48" t="s">
        <v>210</v>
      </c>
      <c r="F26" s="13" t="str">
        <f>IF(B26="","Menunggu: Data Operasional J3","OK")</f>
        <v>OK</v>
      </c>
    </row>
    <row r="27" spans="1:6" x14ac:dyDescent="0.3">
      <c r="A27" s="28" t="s">
        <v>255</v>
      </c>
      <c r="B27" s="33">
        <f>IFERROR('Data Operasional'!J4,"")</f>
        <v>0</v>
      </c>
      <c r="C27" s="23" t="str">
        <f>IFERROR("BOR "&amp;TEXT('Data Operasional'!P4,"0.0")&amp;"%, ALOS "&amp;TEXT('Data Operasional'!O4,"0.0")&amp;" hari","")</f>
        <v>BOR %, ALOS  hari</v>
      </c>
      <c r="D27" s="48" t="s">
        <v>256</v>
      </c>
      <c r="E27" s="48" t="s">
        <v>210</v>
      </c>
      <c r="F27" s="13" t="str">
        <f>IF(B27="","Menunggu: Data Operasional J4","OK")</f>
        <v>OK</v>
      </c>
    </row>
    <row r="28" spans="1:6" x14ac:dyDescent="0.3">
      <c r="A28" s="28" t="s">
        <v>79</v>
      </c>
      <c r="B28" s="33">
        <f>IFERROR('Data Operasional'!J5,"")</f>
        <v>0</v>
      </c>
      <c r="C28" s="23" t="str">
        <f>IFERROR("BOR "&amp;TEXT('Data Operasional'!P5,"0.0")&amp;"%, ALOS "&amp;TEXT('Data Operasional'!O5,"0.0")&amp;" hari","")</f>
        <v>BOR %, ALOS  hari</v>
      </c>
      <c r="D28" s="48" t="s">
        <v>257</v>
      </c>
      <c r="E28" s="48" t="s">
        <v>210</v>
      </c>
      <c r="F28" s="13" t="str">
        <f>IF(B28="","Menunggu: Data Operasional J5","OK")</f>
        <v>OK</v>
      </c>
    </row>
    <row r="29" spans="1:6" x14ac:dyDescent="0.3">
      <c r="A29" s="28" t="s">
        <v>81</v>
      </c>
      <c r="B29" s="33">
        <f>IFERROR('Data Operasional'!J6,"")</f>
        <v>0</v>
      </c>
      <c r="C29" s="23" t="str">
        <f>IFERROR("BOR "&amp;TEXT('Data Operasional'!P6,"0.0")&amp;"%, ALOS "&amp;TEXT('Data Operasional'!O6,"0.0")&amp;" hari","")</f>
        <v>BOR %, ALOS  hari</v>
      </c>
      <c r="D29" s="48" t="s">
        <v>258</v>
      </c>
      <c r="E29" s="48" t="s">
        <v>210</v>
      </c>
      <c r="F29" s="13" t="str">
        <f>IF(B29="","Menunggu: Data Operasional J6","OK")</f>
        <v>OK</v>
      </c>
    </row>
    <row r="30" spans="1:6" x14ac:dyDescent="0.3">
      <c r="A30" s="35" t="s">
        <v>259</v>
      </c>
      <c r="B30" s="36">
        <f>IFERROR(SUM(B25:B29),"")</f>
        <v>0</v>
      </c>
      <c r="C30" s="35"/>
      <c r="D30" s="49" t="s">
        <v>260</v>
      </c>
      <c r="E30" s="49" t="s">
        <v>210</v>
      </c>
      <c r="F30" s="18" t="str">
        <f>IF(B30="","Menunggu: Data Operasional",IF(B30=B9,"OK","CEK: total tidak sama dengan B9"))</f>
        <v>OK</v>
      </c>
    </row>
    <row r="32" spans="1:6" x14ac:dyDescent="0.3">
      <c r="A32" s="26" t="s">
        <v>261</v>
      </c>
      <c r="B32" s="26" t="s">
        <v>250</v>
      </c>
      <c r="C32" s="26" t="s">
        <v>189</v>
      </c>
      <c r="D32" s="46" t="s">
        <v>190</v>
      </c>
      <c r="E32" s="46" t="s">
        <v>191</v>
      </c>
      <c r="F32" s="46" t="s">
        <v>192</v>
      </c>
    </row>
    <row r="33" spans="1:6" x14ac:dyDescent="0.3">
      <c r="A33" s="28" t="s">
        <v>262</v>
      </c>
      <c r="B33" s="32"/>
      <c r="C33" s="23" t="s">
        <v>263</v>
      </c>
      <c r="D33" s="48" t="s">
        <v>264</v>
      </c>
      <c r="E33" s="48" t="s">
        <v>265</v>
      </c>
      <c r="F33" s="13" t="str">
        <f t="shared" ref="F33:F43" si="1">IF(B33="","KOSONG: isi 0 bila tidak ada",IF(AND(ISNUMBER(B33),B33&gt;=0,B33=INT(B33)),"OK","CEK: harus bilangan bulat ≥ 0"))</f>
        <v>KOSONG: isi 0 bila tidak ada</v>
      </c>
    </row>
    <row r="34" spans="1:6" x14ac:dyDescent="0.3">
      <c r="A34" s="28" t="s">
        <v>266</v>
      </c>
      <c r="B34" s="32"/>
      <c r="C34" s="23" t="s">
        <v>263</v>
      </c>
      <c r="D34" s="48" t="s">
        <v>267</v>
      </c>
      <c r="E34" s="48" t="s">
        <v>268</v>
      </c>
      <c r="F34" s="13" t="str">
        <f t="shared" si="1"/>
        <v>KOSONG: isi 0 bila tidak ada</v>
      </c>
    </row>
    <row r="35" spans="1:6" x14ac:dyDescent="0.3">
      <c r="A35" s="28" t="s">
        <v>269</v>
      </c>
      <c r="B35" s="32"/>
      <c r="C35" s="23" t="s">
        <v>270</v>
      </c>
      <c r="D35" s="48" t="s">
        <v>271</v>
      </c>
      <c r="E35" s="48" t="s">
        <v>272</v>
      </c>
      <c r="F35" s="13" t="str">
        <f t="shared" si="1"/>
        <v>KOSONG: isi 0 bila tidak ada</v>
      </c>
    </row>
    <row r="36" spans="1:6" x14ac:dyDescent="0.3">
      <c r="A36" s="28" t="s">
        <v>273</v>
      </c>
      <c r="B36" s="32"/>
      <c r="C36" s="23" t="s">
        <v>270</v>
      </c>
      <c r="D36" s="48" t="s">
        <v>274</v>
      </c>
      <c r="E36" s="48" t="s">
        <v>272</v>
      </c>
      <c r="F36" s="13" t="str">
        <f t="shared" si="1"/>
        <v>KOSONG: isi 0 bila tidak ada</v>
      </c>
    </row>
    <row r="37" spans="1:6" x14ac:dyDescent="0.3">
      <c r="A37" s="28" t="s">
        <v>275</v>
      </c>
      <c r="B37" s="32"/>
      <c r="C37" s="23" t="s">
        <v>270</v>
      </c>
      <c r="D37" s="48" t="s">
        <v>276</v>
      </c>
      <c r="E37" s="48" t="s">
        <v>272</v>
      </c>
      <c r="F37" s="13" t="str">
        <f t="shared" si="1"/>
        <v>KOSONG: isi 0 bila tidak ada</v>
      </c>
    </row>
    <row r="38" spans="1:6" x14ac:dyDescent="0.3">
      <c r="A38" s="28" t="s">
        <v>277</v>
      </c>
      <c r="B38" s="32"/>
      <c r="C38" s="23" t="s">
        <v>270</v>
      </c>
      <c r="D38" s="48" t="s">
        <v>278</v>
      </c>
      <c r="E38" s="48" t="s">
        <v>272</v>
      </c>
      <c r="F38" s="13" t="str">
        <f t="shared" si="1"/>
        <v>KOSONG: isi 0 bila tidak ada</v>
      </c>
    </row>
    <row r="39" spans="1:6" x14ac:dyDescent="0.3">
      <c r="A39" s="28" t="s">
        <v>279</v>
      </c>
      <c r="B39" s="32"/>
      <c r="C39" s="23" t="s">
        <v>270</v>
      </c>
      <c r="D39" s="48" t="s">
        <v>280</v>
      </c>
      <c r="E39" s="48" t="s">
        <v>272</v>
      </c>
      <c r="F39" s="13" t="str">
        <f t="shared" si="1"/>
        <v>KOSONG: isi 0 bila tidak ada</v>
      </c>
    </row>
    <row r="40" spans="1:6" x14ac:dyDescent="0.3">
      <c r="A40" s="28" t="s">
        <v>281</v>
      </c>
      <c r="B40" s="32"/>
      <c r="C40" s="23" t="s">
        <v>270</v>
      </c>
      <c r="D40" s="48" t="s">
        <v>282</v>
      </c>
      <c r="E40" s="48" t="s">
        <v>272</v>
      </c>
      <c r="F40" s="13" t="str">
        <f t="shared" si="1"/>
        <v>KOSONG: isi 0 bila tidak ada</v>
      </c>
    </row>
    <row r="41" spans="1:6" x14ac:dyDescent="0.3">
      <c r="A41" s="28" t="s">
        <v>283</v>
      </c>
      <c r="B41" s="32"/>
      <c r="C41" s="23" t="s">
        <v>270</v>
      </c>
      <c r="D41" s="48" t="s">
        <v>284</v>
      </c>
      <c r="E41" s="48" t="s">
        <v>272</v>
      </c>
      <c r="F41" s="13" t="str">
        <f t="shared" si="1"/>
        <v>KOSONG: isi 0 bila tidak ada</v>
      </c>
    </row>
    <row r="42" spans="1:6" x14ac:dyDescent="0.3">
      <c r="A42" s="28" t="s">
        <v>285</v>
      </c>
      <c r="B42" s="32"/>
      <c r="C42" s="23" t="s">
        <v>270</v>
      </c>
      <c r="D42" s="48" t="s">
        <v>286</v>
      </c>
      <c r="E42" s="48" t="s">
        <v>272</v>
      </c>
      <c r="F42" s="13" t="str">
        <f t="shared" si="1"/>
        <v>KOSONG: isi 0 bila tidak ada</v>
      </c>
    </row>
    <row r="43" spans="1:6" x14ac:dyDescent="0.3">
      <c r="A43" s="28" t="s">
        <v>287</v>
      </c>
      <c r="B43" s="32"/>
      <c r="C43" s="23" t="s">
        <v>288</v>
      </c>
      <c r="D43" s="48" t="s">
        <v>289</v>
      </c>
      <c r="E43" s="48" t="s">
        <v>272</v>
      </c>
      <c r="F43" s="13" t="str">
        <f t="shared" si="1"/>
        <v>KOSONG: isi 0 bila tidak ada</v>
      </c>
    </row>
    <row r="44" spans="1:6" x14ac:dyDescent="0.3">
      <c r="A44" s="35" t="s">
        <v>290</v>
      </c>
      <c r="B44" s="36">
        <f>IFERROR(SUM(B33:B43),"")</f>
        <v>0</v>
      </c>
      <c r="C44" s="35" t="str">
        <f>IFERROR(IF(B44=0,"",IF(B44='Costing Template'!D69,"Cocok dengan jumlah staf Costing Template","CEK: berbeda dengan jumlah staf Costing Template ("&amp;TEXT('Costing Template'!D69,"#,##0")&amp;")")),"")</f>
        <v/>
      </c>
      <c r="D44" s="49" t="s">
        <v>291</v>
      </c>
      <c r="E44" s="49" t="s">
        <v>210</v>
      </c>
      <c r="F44" s="18" t="str">
        <f>IF(N(B44)=0,"Menunggu: isian SDM",IF(B44=N('Costing Template'!D69),"OK","CEK: beda dengan jumlah staf Costing Template (D69)"))</f>
        <v>Menunggu: isian SDM</v>
      </c>
    </row>
    <row r="46" spans="1:6" x14ac:dyDescent="0.3">
      <c r="A46" s="26" t="s">
        <v>292</v>
      </c>
      <c r="B46" s="26" t="s">
        <v>188</v>
      </c>
      <c r="C46" s="26" t="s">
        <v>189</v>
      </c>
      <c r="D46" s="46" t="s">
        <v>190</v>
      </c>
      <c r="E46" s="46" t="s">
        <v>191</v>
      </c>
      <c r="F46" s="46" t="s">
        <v>192</v>
      </c>
    </row>
    <row r="47" spans="1:6" x14ac:dyDescent="0.3">
      <c r="A47" s="28" t="s">
        <v>293</v>
      </c>
      <c r="B47" s="33">
        <f>IFERROR(SUM('Data Operasional'!F8:F31),"")</f>
        <v>0</v>
      </c>
      <c r="C47" s="23" t="s">
        <v>294</v>
      </c>
      <c r="D47" s="48" t="s">
        <v>295</v>
      </c>
      <c r="E47" s="48" t="s">
        <v>210</v>
      </c>
      <c r="F47" s="13" t="str">
        <f t="shared" ref="F47:F53" si="2">IF(B47="","Menunggu: Data Operasional","OK")</f>
        <v>OK</v>
      </c>
    </row>
    <row r="48" spans="1:6" x14ac:dyDescent="0.3">
      <c r="A48" s="28" t="s">
        <v>296</v>
      </c>
      <c r="B48" s="33" t="str">
        <f>IFERROR('Data Operasional'!F7,"")</f>
        <v/>
      </c>
      <c r="C48" s="23" t="s">
        <v>297</v>
      </c>
      <c r="D48" s="48" t="s">
        <v>298</v>
      </c>
      <c r="E48" s="48" t="s">
        <v>210</v>
      </c>
      <c r="F48" s="13" t="str">
        <f t="shared" si="2"/>
        <v>Menunggu: Data Operasional</v>
      </c>
    </row>
    <row r="49" spans="1:6" x14ac:dyDescent="0.3">
      <c r="A49" s="28" t="s">
        <v>299</v>
      </c>
      <c r="B49" s="33">
        <f>IFERROR(B47/300,"")</f>
        <v>0</v>
      </c>
      <c r="C49" s="23" t="s">
        <v>300</v>
      </c>
      <c r="D49" s="48" t="s">
        <v>301</v>
      </c>
      <c r="E49" s="48" t="s">
        <v>210</v>
      </c>
      <c r="F49" s="13" t="str">
        <f t="shared" si="2"/>
        <v>OK</v>
      </c>
    </row>
    <row r="50" spans="1:6" x14ac:dyDescent="0.3">
      <c r="A50" s="28" t="s">
        <v>302</v>
      </c>
      <c r="B50" s="33" t="str">
        <f>IFERROR(B48/365,"")</f>
        <v/>
      </c>
      <c r="C50" s="23" t="s">
        <v>303</v>
      </c>
      <c r="D50" s="48" t="s">
        <v>304</v>
      </c>
      <c r="E50" s="48" t="s">
        <v>210</v>
      </c>
      <c r="F50" s="13" t="str">
        <f t="shared" si="2"/>
        <v>Menunggu: Data Operasional</v>
      </c>
    </row>
    <row r="51" spans="1:6" x14ac:dyDescent="0.3">
      <c r="A51" s="28" t="s">
        <v>305</v>
      </c>
      <c r="B51" s="33">
        <f>IFERROR('Data Operasional'!N7/365,"")</f>
        <v>0</v>
      </c>
      <c r="C51" s="23" t="s">
        <v>306</v>
      </c>
      <c r="D51" s="48" t="s">
        <v>307</v>
      </c>
      <c r="E51" s="48" t="s">
        <v>210</v>
      </c>
      <c r="F51" s="13" t="str">
        <f t="shared" si="2"/>
        <v>OK</v>
      </c>
    </row>
    <row r="52" spans="1:6" x14ac:dyDescent="0.3">
      <c r="A52" s="28" t="s">
        <v>308</v>
      </c>
      <c r="B52" s="44" t="str">
        <f>IFERROR(('Data Operasional'!J7*365-'Data Operasional'!M7)/'Data Operasional'!N7,"")</f>
        <v/>
      </c>
      <c r="C52" s="23" t="s">
        <v>309</v>
      </c>
      <c r="D52" s="48" t="s">
        <v>310</v>
      </c>
      <c r="E52" s="48" t="s">
        <v>210</v>
      </c>
      <c r="F52" s="13" t="str">
        <f t="shared" si="2"/>
        <v>Menunggu: Data Operasional</v>
      </c>
    </row>
    <row r="53" spans="1:6" x14ac:dyDescent="0.3">
      <c r="A53" s="28" t="s">
        <v>311</v>
      </c>
      <c r="B53" s="44" t="str">
        <f>IFERROR('Data Operasional'!N7/'Data Operasional'!J7,"")</f>
        <v/>
      </c>
      <c r="C53" s="23" t="s">
        <v>312</v>
      </c>
      <c r="D53" s="48" t="s">
        <v>313</v>
      </c>
      <c r="E53" s="48" t="s">
        <v>210</v>
      </c>
      <c r="F53" s="13" t="str">
        <f t="shared" si="2"/>
        <v>Menunggu: Data Operasional</v>
      </c>
    </row>
    <row r="55" spans="1:6" x14ac:dyDescent="0.3">
      <c r="A55" s="26" t="s">
        <v>314</v>
      </c>
      <c r="B55" s="26" t="s">
        <v>315</v>
      </c>
      <c r="C55" s="26" t="s">
        <v>189</v>
      </c>
    </row>
    <row r="56" spans="1:6" x14ac:dyDescent="0.3">
      <c r="A56" s="28" t="s">
        <v>73</v>
      </c>
      <c r="B56" s="28" t="s">
        <v>797</v>
      </c>
      <c r="C56" s="23"/>
    </row>
    <row r="57" spans="1:6" x14ac:dyDescent="0.3">
      <c r="A57" s="28" t="s">
        <v>75</v>
      </c>
      <c r="B57" s="28" t="s">
        <v>74</v>
      </c>
      <c r="C57" s="23"/>
    </row>
    <row r="58" spans="1:6" x14ac:dyDescent="0.3">
      <c r="A58" s="28" t="s">
        <v>77</v>
      </c>
      <c r="B58" s="28" t="s">
        <v>76</v>
      </c>
      <c r="C58" s="23"/>
    </row>
    <row r="59" spans="1:6" x14ac:dyDescent="0.3">
      <c r="A59" s="28" t="s">
        <v>79</v>
      </c>
      <c r="B59" s="28" t="s">
        <v>316</v>
      </c>
      <c r="C59" s="23"/>
    </row>
    <row r="60" spans="1:6" x14ac:dyDescent="0.3">
      <c r="A60" s="28" t="s">
        <v>81</v>
      </c>
      <c r="B60" s="28" t="s">
        <v>317</v>
      </c>
      <c r="C60" s="23"/>
    </row>
    <row r="63" spans="1:6" x14ac:dyDescent="0.3">
      <c r="A63" s="26" t="s">
        <v>318</v>
      </c>
      <c r="B63" s="26" t="s">
        <v>319</v>
      </c>
      <c r="C63" s="26" t="s">
        <v>189</v>
      </c>
      <c r="D63" s="46" t="s">
        <v>190</v>
      </c>
      <c r="E63" s="46" t="s">
        <v>191</v>
      </c>
      <c r="F63" s="46" t="s">
        <v>192</v>
      </c>
    </row>
    <row r="64" spans="1:6" x14ac:dyDescent="0.3">
      <c r="A64" s="28" t="s">
        <v>320</v>
      </c>
      <c r="B64" s="29"/>
      <c r="C64" s="23" t="s">
        <v>321</v>
      </c>
      <c r="D64" s="48" t="s">
        <v>322</v>
      </c>
      <c r="E64" s="48" t="s">
        <v>323</v>
      </c>
      <c r="F64" s="13" t="str">
        <f>IF(LEN(TRIM(B64))=0,"KOSONG: isi nama petugas","OK")</f>
        <v>KOSONG: isi nama petugas</v>
      </c>
    </row>
    <row r="65" spans="1:6" x14ac:dyDescent="0.3">
      <c r="A65" s="28" t="s">
        <v>324</v>
      </c>
      <c r="B65" s="29"/>
      <c r="C65" s="23" t="s">
        <v>325</v>
      </c>
      <c r="D65" s="48" t="s">
        <v>326</v>
      </c>
      <c r="E65" s="48" t="s">
        <v>323</v>
      </c>
      <c r="F65" s="13" t="str">
        <f>IF(LEN(TRIM(B65))=0,"KOSONG: isi jabatan / unit kerja","OK")</f>
        <v>KOSONG: isi jabatan / unit kerja</v>
      </c>
    </row>
    <row r="66" spans="1:6" x14ac:dyDescent="0.3">
      <c r="A66" s="28" t="s">
        <v>327</v>
      </c>
      <c r="B66" s="50"/>
      <c r="C66" s="23" t="s">
        <v>328</v>
      </c>
      <c r="D66" s="48" t="s">
        <v>329</v>
      </c>
      <c r="E66" s="48" t="s">
        <v>330</v>
      </c>
      <c r="F66" s="13" t="str">
        <f>IF(LEN(B66)=0,"KOSONG: isi nomor HP",IF(AND(ISNUMBER(--SUBSTITUTE(SUBSTITUTE(SUBSTITUTE(B66,"+","")," ",""),"-","")),LEN(B66)&gt;=9,LEN(B66)&lt;=16),"OK","CEK: nomor HP tidak valid"))</f>
        <v>KOSONG: isi nomor HP</v>
      </c>
    </row>
    <row r="67" spans="1:6" x14ac:dyDescent="0.3">
      <c r="A67" s="28" t="s">
        <v>331</v>
      </c>
      <c r="B67" s="29"/>
      <c r="C67" s="23" t="s">
        <v>332</v>
      </c>
      <c r="D67" s="48" t="s">
        <v>333</v>
      </c>
      <c r="E67" s="48" t="s">
        <v>334</v>
      </c>
      <c r="F67" s="13" t="str">
        <f>IF(LEN(B67)=0,"KOSONG: isi email",IF(AND(ISNUMBER(FIND("@",B67)),ISERROR(FIND(" ",B67)),LEN(B67)&gt;=6,ISNUMBER(FIND(".",B67,IFERROR(FIND("@",B67),1)))),"OK","CEK: format email salah"))</f>
        <v>KOSONG: isi email</v>
      </c>
    </row>
    <row r="68" spans="1:6" x14ac:dyDescent="0.3">
      <c r="A68" s="28" t="s">
        <v>335</v>
      </c>
      <c r="B68" s="51"/>
      <c r="C68" s="23" t="s">
        <v>336</v>
      </c>
      <c r="D68" s="48" t="s">
        <v>337</v>
      </c>
      <c r="E68" s="48" t="s">
        <v>338</v>
      </c>
      <c r="F68" s="13" t="str">
        <f>IF(B68="","KOSONG: isi tanggal pengisian",IF(AND(ISNUMBER(B68),B68&gt;=36526,B68&lt;=73415),"OK","CEK: tanggal tidak valid"))</f>
        <v>KOSONG: isi tanggal pengisian</v>
      </c>
    </row>
    <row r="69" spans="1:6" x14ac:dyDescent="0.3">
      <c r="A69" s="28" t="s">
        <v>339</v>
      </c>
      <c r="B69" s="29"/>
      <c r="C69" s="23" t="s">
        <v>340</v>
      </c>
      <c r="D69" s="48" t="s">
        <v>341</v>
      </c>
      <c r="E69" s="48" t="s">
        <v>323</v>
      </c>
      <c r="F69" s="13" t="str">
        <f>IF(LEN(TRIM(B69))=0,"KOSONG: isi nama direktur","OK")</f>
        <v>KOSONG: isi nama direktur</v>
      </c>
    </row>
  </sheetData>
  <conditionalFormatting sqref="F2:F69">
    <cfRule type="expression" dxfId="26" priority="2">
      <formula>LEFT(F2,2)="OK"</formula>
    </cfRule>
    <cfRule type="expression" dxfId="25" priority="3">
      <formula>LEFT(F2,3)="CEK"</formula>
    </cfRule>
    <cfRule type="expression" dxfId="24" priority="4">
      <formula>OR(LEFT(F2,6)="KOSONG",LEFT(F2,5)="BELUM",LEFT(F2,6)="Menung")</formula>
    </cfRule>
  </conditionalFormatting>
  <dataValidations count="9">
    <dataValidation type="textLength" allowBlank="1" showInputMessage="1" showErrorMessage="1" errorTitle="Nama RS tidak valid" error="Isi nama RS 5 sampai 100 karakter." promptTitle="Nama Rumah Sakit" prompt="Tulis nama resmi RS lengkap, tanpa singkatan. Contoh: RSUP Dr. Hasan Sadikin." sqref="B2" xr:uid="{00000000-0002-0000-0100-000000000000}">
      <formula1>5</formula1>
      <formula2>100</formula2>
    </dataValidation>
    <dataValidation type="list" allowBlank="1" showInputMessage="1" showErrorMessage="1" errorTitle="Tipe RS tidak valid" error="Pilih salah satu: A, B, C, atau D." promptTitle="Tipe RS" prompt="Pilih A, B, C, atau D dari daftar. Harus sama dengan Costing Template K2." sqref="B3" xr:uid="{00000000-0002-0000-0100-000001000000}">
      <formula1>"A,B,C,D"</formula1>
      <formula2>0</formula2>
    </dataValidation>
    <dataValidation type="list" allowBlank="1" showInputMessage="1" showErrorMessage="1" errorTitle="Kepemilikan tidak valid" error="Pilih salah satu dari daftar." promptTitle="Kepemilikan RS" prompt="Pilih dari daftar. Harus sama dengan Costing Template N2." sqref="B4" xr:uid="{00000000-0002-0000-0100-000002000000}">
      <formula1>"Pemerintah Pusat,Pemerintah Daerah,Swasta,TNI/Polri,BUMN"</formula1>
      <formula2>0</formula2>
    </dataValidation>
    <dataValidation type="whole" allowBlank="1" showInputMessage="1" showErrorMessage="1" errorTitle="Tahun tidak valid" error="Isi tahun 4 digit, contoh 2025." promptTitle="Tahun Data" prompt="Isi tahun 4 digit (1 Jan sampai 31 Des). Harus sama dengan Costing Template B2." sqref="B5" xr:uid="{00000000-0002-0000-0100-000003000000}">
      <formula1>2000</formula1>
      <formula2>2100</formula2>
    </dataValidation>
    <dataValidation type="whole" operator="greaterThanOrEqual" allowBlank="1" showInputMessage="1" showErrorMessage="1" errorTitle="Angka tidak valid" error="Isi bilangan bulat 0 atau lebih (jumlah orang). Tanpa titik, koma, atau desimal." promptTitle="Jumlah SDM (orang)" prompt="Jumlah orang aktif pada 31 Desember tahun data. Isi 0 bila tidak ada. Satu orang dihitung di satu baris saja." sqref="B33:B43" xr:uid="{00000000-0002-0000-0100-000004000000}">
      <formula1>0</formula1>
      <formula2>0</formula2>
    </dataValidation>
    <dataValidation type="textLength" allowBlank="1" showInputMessage="1" showErrorMessage="1" errorTitle="Isian terlalu pendek" error="Isi teks 3 sampai 100 karakter." promptTitle="Identitas pengisi" prompt="Isi teks 3 sampai 100 karakter." sqref="B64:B65 B69" xr:uid="{00000000-0002-0000-0100-000005000000}">
      <formula1>3</formula1>
      <formula2>100</formula2>
    </dataValidation>
    <dataValidation type="custom" allowBlank="1" showInputMessage="1" showErrorMessage="1" errorTitle="Nomor HP tidak valid" error="Isi angka saja (boleh diawali + atau memakai -), 9 sampai 16 karakter." promptTitle="Nomor HP (WA)" prompt="Hanya angka, 9 sampai 16 karakter. Contoh: 081234567890." sqref="B66" xr:uid="{00000000-0002-0000-0100-000006000000}">
      <formula1>AND(ISNUMBER(--SUBSTITUTE(SUBSTITUTE(SUBSTITUTE(B66,"+","")," ",""),"-","")),LEN(B66)&gt;=9,LEN(B66)&lt;=16)</formula1>
      <formula2>0</formula2>
    </dataValidation>
    <dataValidation type="custom" allowBlank="1" showInputMessage="1" showErrorMessage="1" errorTitle="Email tidak valid" error="Format email: nama@domain.go.id (tanpa spasi)." promptTitle="Email" prompt="Isi email aktif. Contoh: nama@rs.go.id." sqref="B67" xr:uid="{00000000-0002-0000-0100-000007000000}">
      <formula1>AND(ISNUMBER(FIND("@",B67)),ISERROR(FIND(" ",B67)),LEN(B67)&gt;=6,ISNUMBER(FIND(".",B67,IFERROR(FIND("@",B67),1))))</formula1>
      <formula2>0</formula2>
    </dataValidation>
    <dataValidation type="date" allowBlank="1" showInputMessage="1" showErrorMessage="1" errorTitle="Tanggal tidak valid" error="Isi tanggal valid, format hari-bulan-tahun. Contoh: 15-10-2026." promptTitle="Tanggal pengisian" prompt="Format hari-bulan-tahun. Contoh: 15-10-2026." sqref="B68" xr:uid="{00000000-0002-0000-0100-000008000000}">
      <formula1>36526</formula1>
      <formula2>73415</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59"/>
  <sheetViews>
    <sheetView zoomScale="70" zoomScaleNormal="70" workbookViewId="0">
      <pane xSplit="1" ySplit="1" topLeftCell="B2" activePane="bottomRight" state="frozen"/>
      <selection pane="topRight" activeCell="B1" sqref="B1"/>
      <selection pane="bottomLeft" activeCell="A2" sqref="A2"/>
      <selection pane="bottomRight" activeCell="J30" sqref="J30"/>
    </sheetView>
  </sheetViews>
  <sheetFormatPr defaultColWidth="8.6640625" defaultRowHeight="14.4" x14ac:dyDescent="0.3"/>
  <cols>
    <col min="1" max="1" width="44" customWidth="1"/>
    <col min="2" max="2" width="16" customWidth="1"/>
    <col min="3" max="3" width="18" customWidth="1"/>
    <col min="4" max="4" width="16" customWidth="1"/>
    <col min="5" max="5" width="18" customWidth="1"/>
    <col min="6" max="7" width="20" customWidth="1"/>
    <col min="8" max="8" width="3" customWidth="1"/>
    <col min="9" max="9" width="36" customWidth="1"/>
    <col min="10" max="11" width="16" customWidth="1"/>
    <col min="12" max="12" width="18" customWidth="1"/>
    <col min="13" max="13" width="16" customWidth="1"/>
    <col min="14" max="14" width="14" customWidth="1"/>
    <col min="15" max="15" width="12" customWidth="1"/>
    <col min="16" max="16" width="11" customWidth="1"/>
    <col min="17" max="17" width="12" customWidth="1"/>
    <col min="18" max="18" width="3" customWidth="1"/>
    <col min="19" max="19" width="60" customWidth="1"/>
    <col min="20" max="20" width="66" customWidth="1"/>
  </cols>
  <sheetData>
    <row r="1" spans="1:20" ht="45" customHeight="1" x14ac:dyDescent="0.3">
      <c r="A1" s="4" t="s">
        <v>342</v>
      </c>
      <c r="B1" s="4" t="s">
        <v>343</v>
      </c>
      <c r="C1" s="4" t="s">
        <v>344</v>
      </c>
      <c r="D1" s="4" t="s">
        <v>345</v>
      </c>
      <c r="E1" s="4" t="s">
        <v>346</v>
      </c>
      <c r="F1" s="4" t="s">
        <v>347</v>
      </c>
      <c r="G1" s="4" t="s">
        <v>348</v>
      </c>
      <c r="I1" s="4" t="s">
        <v>349</v>
      </c>
      <c r="J1" s="4" t="s">
        <v>350</v>
      </c>
      <c r="K1" s="4" t="s">
        <v>345</v>
      </c>
      <c r="L1" s="4" t="s">
        <v>346</v>
      </c>
      <c r="M1" s="4" t="s">
        <v>351</v>
      </c>
      <c r="N1" s="4" t="s">
        <v>352</v>
      </c>
      <c r="O1" s="4" t="s">
        <v>211</v>
      </c>
      <c r="P1" s="4" t="s">
        <v>207</v>
      </c>
      <c r="Q1" s="4" t="s">
        <v>353</v>
      </c>
      <c r="S1" s="11" t="s">
        <v>354</v>
      </c>
      <c r="T1" s="11" t="s">
        <v>355</v>
      </c>
    </row>
    <row r="2" spans="1:20" x14ac:dyDescent="0.3">
      <c r="A2" s="6" t="s">
        <v>251</v>
      </c>
      <c r="B2" s="19"/>
      <c r="C2" s="19"/>
      <c r="D2" s="19"/>
      <c r="E2" s="19"/>
      <c r="F2" s="15" t="str">
        <f t="shared" ref="F2:F31" si="0">IFERROR(IF(COUNT(B2:C2)&lt;2,"",SUM(B2:C2)),"")</f>
        <v/>
      </c>
      <c r="G2" s="15" t="str">
        <f t="shared" ref="G2:G31" si="1">IFERROR(IF(COUNT(D2:E2)&lt;2,"",SUM(D2:E2)),"")</f>
        <v/>
      </c>
      <c r="I2" s="6" t="s">
        <v>251</v>
      </c>
      <c r="J2" s="19"/>
      <c r="K2" s="15">
        <f t="shared" ref="K2:L6" si="2">IFERROR(D2,"")</f>
        <v>0</v>
      </c>
      <c r="L2" s="15">
        <f t="shared" si="2"/>
        <v>0</v>
      </c>
      <c r="M2" s="15">
        <f>IFERROR(K2+L2,"")</f>
        <v>0</v>
      </c>
      <c r="N2" s="19"/>
      <c r="O2" s="14" t="str">
        <f t="shared" ref="O2:O7" si="3">IFERROR(M2/N2,"")</f>
        <v/>
      </c>
      <c r="P2" s="20" t="str">
        <f t="shared" ref="P2:P7" si="4">IFERROR(M2/(J2*365)*100,"")</f>
        <v/>
      </c>
      <c r="Q2" s="9" t="str">
        <f>IFERROR(IF(P2="","",IF(AND(P2&gt;=40,P2&lt;=90),"OK","CEK")),"")</f>
        <v/>
      </c>
      <c r="S2" s="13" t="str">
        <f>IF(COUNTA(D2:E2)&gt;COUNT(D2:E2),"CEK: ada isian bukan angka",IF(COUNT(D2:E2)=0,"KOSONG: isi hari rawat JKN dan Non-JKN (kolom D, E)",IF(COUNT(D2:E2)&lt;2,"BELUM LENGKAP: isi D dan E (boleh 0)",IF(OR(D2&lt;0,E2&lt;0,D2&lt;&gt;INT(D2),E2&lt;&gt;INT(E2)),"CEK: harus bilangan bulat ≥ 0",IF(SUM(B2:C2)&gt;0,"CEK: kunjungan (B, C) tidak diisi untuk kelas rawat inap",IF(AND(J2&lt;&gt;"",D2+E2&gt;J2*365),"CEK: hari rawat melebihi tempat tidur × 365","OK"))))))</f>
        <v>KOSONG: isi hari rawat JKN dan Non-JKN (kolom D, E)</v>
      </c>
      <c r="T2" s="13" t="str">
        <f>IF(COUNTA(J2,N2)&gt;COUNT(J2,N2),"CEK: ada isian bukan angka",IF(COUNT(J2,N2)=0,"KOSONG: isi tempat tidur (J) dan pasien pulang (N)",IF(COUNT(J2,N2)&lt;2,"BELUM LENGKAP: isi J dan N (boleh 0)",IF(OR(J2&lt;0,N2&lt;0,J2&lt;&gt;INT(J2),N2&lt;&gt;INT(N2)),"CEK: harus bilangan bulat ≥ 0",IF(AND(J2=0,N(M2)&gt;0),"CEK: ada hari rawat tetapi tempat tidur 0",IF(AND(N2=0,N(M2)&gt;0),"CEK: ada hari rawat tetapi pasien pulang 0",IF(Q2="CEK","CEK: BOR "&amp;TEXT(P2,"0.0")&amp;"% di luar 40–90%, periksa J dan D/E","OK")))))))</f>
        <v>KOSONG: isi tempat tidur (J) dan pasien pulang (N)</v>
      </c>
    </row>
    <row r="3" spans="1:20" x14ac:dyDescent="0.3">
      <c r="A3" s="6" t="s">
        <v>253</v>
      </c>
      <c r="B3" s="19"/>
      <c r="C3" s="19"/>
      <c r="D3" s="19"/>
      <c r="E3" s="19"/>
      <c r="F3" s="15" t="str">
        <f t="shared" si="0"/>
        <v/>
      </c>
      <c r="G3" s="15" t="str">
        <f t="shared" si="1"/>
        <v/>
      </c>
      <c r="I3" s="6" t="s">
        <v>253</v>
      </c>
      <c r="J3" s="19"/>
      <c r="K3" s="15">
        <f t="shared" si="2"/>
        <v>0</v>
      </c>
      <c r="L3" s="15">
        <f t="shared" si="2"/>
        <v>0</v>
      </c>
      <c r="M3" s="15">
        <f>IFERROR(K3+L3,"")</f>
        <v>0</v>
      </c>
      <c r="N3" s="19"/>
      <c r="O3" s="14" t="str">
        <f t="shared" si="3"/>
        <v/>
      </c>
      <c r="P3" s="20" t="str">
        <f t="shared" si="4"/>
        <v/>
      </c>
      <c r="Q3" s="9" t="str">
        <f>IFERROR(IF(P3="","",IF(AND(P3&gt;=40,P3&lt;=90),"OK","CEK")),"")</f>
        <v/>
      </c>
      <c r="S3" s="13" t="str">
        <f>IF(COUNTA(D3:E3)&gt;COUNT(D3:E3),"CEK: ada isian bukan angka",IF(COUNT(D3:E3)=0,"KOSONG: isi hari rawat JKN dan Non-JKN (kolom D, E)",IF(COUNT(D3:E3)&lt;2,"BELUM LENGKAP: isi D dan E (boleh 0)",IF(OR(D3&lt;0,E3&lt;0,D3&lt;&gt;INT(D3),E3&lt;&gt;INT(E3)),"CEK: harus bilangan bulat ≥ 0",IF(SUM(B3:C3)&gt;0,"CEK: kunjungan (B, C) tidak diisi untuk kelas rawat inap",IF(AND(J3&lt;&gt;"",D3+E3&gt;J3*365),"CEK: hari rawat melebihi tempat tidur × 365","OK"))))))</f>
        <v>KOSONG: isi hari rawat JKN dan Non-JKN (kolom D, E)</v>
      </c>
      <c r="T3" s="13" t="str">
        <f>IF(COUNTA(J3,N3)&gt;COUNT(J3,N3),"CEK: ada isian bukan angka",IF(COUNT(J3,N3)=0,"KOSONG: isi tempat tidur (J) dan pasien pulang (N)",IF(COUNT(J3,N3)&lt;2,"BELUM LENGKAP: isi J dan N (boleh 0)",IF(OR(J3&lt;0,N3&lt;0,J3&lt;&gt;INT(J3),N3&lt;&gt;INT(N3)),"CEK: harus bilangan bulat ≥ 0",IF(AND(J3=0,N(M3)&gt;0),"CEK: ada hari rawat tetapi tempat tidur 0",IF(AND(N3=0,N(M3)&gt;0),"CEK: ada hari rawat tetapi pasien pulang 0",IF(Q3="CEK","CEK: BOR "&amp;TEXT(P3,"0.0")&amp;"% di luar 40–90%, periksa J dan D/E","OK")))))))</f>
        <v>KOSONG: isi tempat tidur (J) dan pasien pulang (N)</v>
      </c>
    </row>
    <row r="4" spans="1:20" x14ac:dyDescent="0.3">
      <c r="A4" s="6" t="s">
        <v>255</v>
      </c>
      <c r="B4" s="19"/>
      <c r="C4" s="19"/>
      <c r="D4" s="19"/>
      <c r="E4" s="19"/>
      <c r="F4" s="15" t="str">
        <f t="shared" si="0"/>
        <v/>
      </c>
      <c r="G4" s="15" t="str">
        <f t="shared" si="1"/>
        <v/>
      </c>
      <c r="I4" s="6" t="s">
        <v>255</v>
      </c>
      <c r="J4" s="19"/>
      <c r="K4" s="15">
        <f t="shared" si="2"/>
        <v>0</v>
      </c>
      <c r="L4" s="15">
        <f t="shared" si="2"/>
        <v>0</v>
      </c>
      <c r="M4" s="15">
        <f>IFERROR(K4+L4,"")</f>
        <v>0</v>
      </c>
      <c r="N4" s="19"/>
      <c r="O4" s="14" t="str">
        <f t="shared" si="3"/>
        <v/>
      </c>
      <c r="P4" s="20" t="str">
        <f t="shared" si="4"/>
        <v/>
      </c>
      <c r="Q4" s="9" t="str">
        <f>IFERROR(IF(P4="","",IF(AND(P4&gt;=40,P4&lt;=90),"OK","CEK")),"")</f>
        <v/>
      </c>
      <c r="S4" s="13" t="str">
        <f>IF(COUNTA(D4:E4)&gt;COUNT(D4:E4),"CEK: ada isian bukan angka",IF(COUNT(D4:E4)=0,"KOSONG: isi hari rawat JKN dan Non-JKN (kolom D, E)",IF(COUNT(D4:E4)&lt;2,"BELUM LENGKAP: isi D dan E (boleh 0)",IF(OR(D4&lt;0,E4&lt;0,D4&lt;&gt;INT(D4),E4&lt;&gt;INT(E4)),"CEK: harus bilangan bulat ≥ 0",IF(SUM(B4:C4)&gt;0,"CEK: kunjungan (B, C) tidak diisi untuk kelas rawat inap",IF(AND(J4&lt;&gt;"",D4+E4&gt;J4*365),"CEK: hari rawat melebihi tempat tidur × 365","OK"))))))</f>
        <v>KOSONG: isi hari rawat JKN dan Non-JKN (kolom D, E)</v>
      </c>
      <c r="T4" s="13" t="str">
        <f>IF(COUNTA(J4,N4)&gt;COUNT(J4,N4),"CEK: ada isian bukan angka",IF(COUNT(J4,N4)=0,"KOSONG: isi tempat tidur (J) dan pasien pulang (N)",IF(COUNT(J4,N4)&lt;2,"BELUM LENGKAP: isi J dan N (boleh 0)",IF(OR(J4&lt;0,N4&lt;0,J4&lt;&gt;INT(J4),N4&lt;&gt;INT(N4)),"CEK: harus bilangan bulat ≥ 0",IF(AND(J4=0,N(M4)&gt;0),"CEK: ada hari rawat tetapi tempat tidur 0",IF(AND(N4=0,N(M4)&gt;0),"CEK: ada hari rawat tetapi pasien pulang 0",IF(Q4="CEK","CEK: BOR "&amp;TEXT(P4,"0.0")&amp;"% di luar 40–90%, periksa J dan D/E","OK")))))))</f>
        <v>KOSONG: isi tempat tidur (J) dan pasien pulang (N)</v>
      </c>
    </row>
    <row r="5" spans="1:20" x14ac:dyDescent="0.3">
      <c r="A5" s="6" t="s">
        <v>79</v>
      </c>
      <c r="B5" s="19"/>
      <c r="C5" s="19"/>
      <c r="D5" s="19"/>
      <c r="E5" s="19"/>
      <c r="F5" s="15" t="str">
        <f t="shared" si="0"/>
        <v/>
      </c>
      <c r="G5" s="15" t="str">
        <f t="shared" si="1"/>
        <v/>
      </c>
      <c r="I5" s="6" t="s">
        <v>79</v>
      </c>
      <c r="J5" s="19"/>
      <c r="K5" s="15">
        <f t="shared" si="2"/>
        <v>0</v>
      </c>
      <c r="L5" s="15">
        <f t="shared" si="2"/>
        <v>0</v>
      </c>
      <c r="M5" s="15">
        <f>IFERROR(K5+L5,"")</f>
        <v>0</v>
      </c>
      <c r="N5" s="19"/>
      <c r="O5" s="14" t="str">
        <f t="shared" si="3"/>
        <v/>
      </c>
      <c r="P5" s="20" t="str">
        <f t="shared" si="4"/>
        <v/>
      </c>
      <c r="Q5" s="9" t="str">
        <f>IFERROR(IF(P5="","",IF(AND(P5&gt;=40,P5&lt;=90),"OK","CEK")),"")</f>
        <v/>
      </c>
      <c r="S5" s="13" t="str">
        <f>IF(COUNTA(D5:E5)&gt;COUNT(D5:E5),"CEK: ada isian bukan angka",IF(COUNT(D5:E5)=0,"KOSONG: isi hari rawat JKN dan Non-JKN (kolom D, E)",IF(COUNT(D5:E5)&lt;2,"BELUM LENGKAP: isi D dan E (boleh 0)",IF(OR(D5&lt;0,E5&lt;0,D5&lt;&gt;INT(D5),E5&lt;&gt;INT(E5)),"CEK: harus bilangan bulat ≥ 0",IF(SUM(B5:C5)&gt;0,"CEK: kunjungan (B, C) tidak diisi untuk kelas rawat inap",IF(AND(J5&lt;&gt;"",D5+E5&gt;J5*365),"CEK: hari rawat melebihi tempat tidur × 365","OK"))))))</f>
        <v>KOSONG: isi hari rawat JKN dan Non-JKN (kolom D, E)</v>
      </c>
      <c r="T5" s="13" t="str">
        <f>IF(COUNTA(J5,N5)&gt;COUNT(J5,N5),"CEK: ada isian bukan angka",IF(COUNT(J5,N5)=0,"KOSONG: isi tempat tidur (J) dan pasien pulang (N)",IF(COUNT(J5,N5)&lt;2,"BELUM LENGKAP: isi J dan N (boleh 0)",IF(OR(J5&lt;0,N5&lt;0,J5&lt;&gt;INT(J5),N5&lt;&gt;INT(N5)),"CEK: harus bilangan bulat ≥ 0",IF(AND(J5=0,N(M5)&gt;0),"CEK: ada hari rawat tetapi tempat tidur 0",IF(AND(N5=0,N(M5)&gt;0),"CEK: ada hari rawat tetapi pasien pulang 0",IF(Q5="CEK","CEK: BOR "&amp;TEXT(P5,"0.0")&amp;"% di luar 40–90%, periksa J dan D/E","OK")))))))</f>
        <v>KOSONG: isi tempat tidur (J) dan pasien pulang (N)</v>
      </c>
    </row>
    <row r="6" spans="1:20" x14ac:dyDescent="0.3">
      <c r="A6" s="6" t="s">
        <v>81</v>
      </c>
      <c r="B6" s="19"/>
      <c r="C6" s="19"/>
      <c r="D6" s="19"/>
      <c r="E6" s="19"/>
      <c r="F6" s="15" t="str">
        <f t="shared" si="0"/>
        <v/>
      </c>
      <c r="G6" s="15" t="str">
        <f t="shared" si="1"/>
        <v/>
      </c>
      <c r="I6" s="6" t="s">
        <v>81</v>
      </c>
      <c r="J6" s="19"/>
      <c r="K6" s="15">
        <f t="shared" si="2"/>
        <v>0</v>
      </c>
      <c r="L6" s="15">
        <f t="shared" si="2"/>
        <v>0</v>
      </c>
      <c r="M6" s="15">
        <f>IFERROR(K6+L6,"")</f>
        <v>0</v>
      </c>
      <c r="N6" s="19"/>
      <c r="O6" s="14" t="str">
        <f t="shared" si="3"/>
        <v/>
      </c>
      <c r="P6" s="20" t="str">
        <f t="shared" si="4"/>
        <v/>
      </c>
      <c r="Q6" s="9" t="str">
        <f>IFERROR(IF(P6="","",IF(AND(P6&gt;=40,P6&lt;=90),"OK","CEK")),"")</f>
        <v/>
      </c>
      <c r="S6" s="13" t="str">
        <f>IF(COUNTA(D6:E6)&gt;COUNT(D6:E6),"CEK: ada isian bukan angka",IF(COUNT(D6:E6)=0,"KOSONG: isi hari rawat JKN dan Non-JKN (kolom D, E)",IF(COUNT(D6:E6)&lt;2,"BELUM LENGKAP: isi D dan E (boleh 0)",IF(OR(D6&lt;0,E6&lt;0,D6&lt;&gt;INT(D6),E6&lt;&gt;INT(E6)),"CEK: harus bilangan bulat ≥ 0",IF(SUM(B6:C6)&gt;0,"CEK: kunjungan (B, C) tidak diisi untuk kelas rawat inap",IF(AND(J6&lt;&gt;"",D6+E6&gt;J6*365),"CEK: hari rawat melebihi tempat tidur × 365","OK"))))))</f>
        <v>KOSONG: isi hari rawat JKN dan Non-JKN (kolom D, E)</v>
      </c>
      <c r="T6" s="13" t="str">
        <f>IF(COUNTA(J6,N6)&gt;COUNT(J6,N6),"CEK: ada isian bukan angka",IF(COUNT(J6,N6)=0,"KOSONG: isi tempat tidur (J) dan pasien pulang (N)",IF(COUNT(J6,N6)&lt;2,"BELUM LENGKAP: isi J dan N (boleh 0)",IF(OR(J6&lt;0,N6&lt;0,J6&lt;&gt;INT(J6),N6&lt;&gt;INT(N6)),"CEK: harus bilangan bulat ≥ 0",IF(AND(J6=0,N(M6)&gt;0),"CEK: ada hari rawat tetapi tempat tidur 0",IF(AND(N6=0,N(M6)&gt;0),"CEK: ada hari rawat tetapi pasien pulang 0",IF(Q6="CEK","CEK: BOR "&amp;TEXT(P6,"0.0")&amp;"% di luar 40–90%, periksa J dan D/E","OK")))))))</f>
        <v>KOSONG: isi tempat tidur (J) dan pasien pulang (N)</v>
      </c>
    </row>
    <row r="7" spans="1:20" x14ac:dyDescent="0.3">
      <c r="A7" s="6" t="s">
        <v>356</v>
      </c>
      <c r="B7" s="19"/>
      <c r="C7" s="19"/>
      <c r="D7" s="19"/>
      <c r="E7" s="19"/>
      <c r="F7" s="15" t="str">
        <f t="shared" si="0"/>
        <v/>
      </c>
      <c r="G7" s="15" t="str">
        <f t="shared" si="1"/>
        <v/>
      </c>
      <c r="I7" s="16" t="s">
        <v>357</v>
      </c>
      <c r="J7" s="17">
        <f>IFERROR(SUM(J2:J6),"")</f>
        <v>0</v>
      </c>
      <c r="K7" s="17">
        <f>IFERROR(SUM(K2:K6),"")</f>
        <v>0</v>
      </c>
      <c r="L7" s="17">
        <f>IFERROR(SUM(L2:L6),"")</f>
        <v>0</v>
      </c>
      <c r="M7" s="17">
        <f>IFERROR(SUM(M2:M6),"")</f>
        <v>0</v>
      </c>
      <c r="N7" s="17">
        <f>IFERROR(SUM(N2:N6),"")</f>
        <v>0</v>
      </c>
      <c r="O7" s="21" t="str">
        <f t="shared" si="3"/>
        <v/>
      </c>
      <c r="P7" s="22" t="str">
        <f t="shared" si="4"/>
        <v/>
      </c>
      <c r="Q7" s="16" t="str">
        <f>IFERROR(IF(P7="","",IF(AND(P7&gt;=50,P7&lt;=85),"OK","CEK")),"")</f>
        <v/>
      </c>
      <c r="S7" s="13" t="str">
        <f t="shared" ref="S7:S31" si="5">IF(COUNTA(B7:C7)&gt;COUNT(B7:C7),"CEK: ada isian bukan angka",IF(COUNT(B7:C7)=0,"KOSONG: isi kunjungan JKN dan Non-JKN (kolom B, C)",IF(COUNT(B7:C7)&lt;2,"BELUM LENGKAP: isi B dan C (boleh 0)",IF(OR(B7&lt;0,C7&lt;0,B7&lt;&gt;INT(B7),C7&lt;&gt;INT(C7)),"CEK: harus bilangan bulat ≥ 0",IF(SUM(D7:E7)&gt;0,"CEK: hari rawat hanya diisi di baris 2–6 (rawat inap)","OK")))))</f>
        <v>KOSONG: isi kunjungan JKN dan Non-JKN (kolom B, C)</v>
      </c>
      <c r="T7" s="13" t="str">
        <f>IF(Q7="","Menunggu: data tempat tidur dan hari rawat",IF(Q7="OK","OK: BOR total RS wajar (50–85%)","CEK: BOR total RS "&amp;TEXT(P7,"0.0")&amp;"% di luar 50–85%"))</f>
        <v>Menunggu: data tempat tidur dan hari rawat</v>
      </c>
    </row>
    <row r="8" spans="1:20" x14ac:dyDescent="0.3">
      <c r="A8" s="6" t="s">
        <v>358</v>
      </c>
      <c r="B8" s="19"/>
      <c r="C8" s="19"/>
      <c r="D8" s="19"/>
      <c r="E8" s="19"/>
      <c r="F8" s="15" t="str">
        <f t="shared" si="0"/>
        <v/>
      </c>
      <c r="G8" s="15" t="str">
        <f t="shared" si="1"/>
        <v/>
      </c>
      <c r="I8" s="23" t="s">
        <v>359</v>
      </c>
      <c r="S8" s="13" t="str">
        <f t="shared" si="5"/>
        <v>KOSONG: isi kunjungan JKN dan Non-JKN (kolom B, C)</v>
      </c>
    </row>
    <row r="9" spans="1:20" x14ac:dyDescent="0.3">
      <c r="A9" s="6" t="s">
        <v>360</v>
      </c>
      <c r="B9" s="19"/>
      <c r="C9" s="19"/>
      <c r="D9" s="19"/>
      <c r="E9" s="19"/>
      <c r="F9" s="15" t="str">
        <f t="shared" si="0"/>
        <v/>
      </c>
      <c r="G9" s="15" t="str">
        <f t="shared" si="1"/>
        <v/>
      </c>
      <c r="S9" s="13" t="str">
        <f t="shared" si="5"/>
        <v>KOSONG: isi kunjungan JKN dan Non-JKN (kolom B, C)</v>
      </c>
    </row>
    <row r="10" spans="1:20" ht="27" customHeight="1" x14ac:dyDescent="0.3">
      <c r="A10" s="6" t="s">
        <v>361</v>
      </c>
      <c r="B10" s="19"/>
      <c r="C10" s="19"/>
      <c r="D10" s="19"/>
      <c r="E10" s="19"/>
      <c r="F10" s="15" t="str">
        <f t="shared" si="0"/>
        <v/>
      </c>
      <c r="G10" s="15" t="str">
        <f t="shared" si="1"/>
        <v/>
      </c>
      <c r="I10" s="4" t="s">
        <v>362</v>
      </c>
      <c r="J10" s="4" t="s">
        <v>363</v>
      </c>
      <c r="K10" s="4" t="s">
        <v>364</v>
      </c>
      <c r="L10" s="4" t="s">
        <v>365</v>
      </c>
      <c r="M10" s="4" t="s">
        <v>366</v>
      </c>
      <c r="S10" s="13" t="str">
        <f t="shared" si="5"/>
        <v>KOSONG: isi kunjungan JKN dan Non-JKN (kolom B, C)</v>
      </c>
      <c r="T10" s="11" t="s">
        <v>367</v>
      </c>
    </row>
    <row r="11" spans="1:20" x14ac:dyDescent="0.3">
      <c r="A11" s="6" t="s">
        <v>368</v>
      </c>
      <c r="B11" s="19"/>
      <c r="C11" s="19"/>
      <c r="D11" s="19"/>
      <c r="E11" s="19"/>
      <c r="F11" s="15" t="str">
        <f t="shared" si="0"/>
        <v/>
      </c>
      <c r="G11" s="15" t="str">
        <f t="shared" si="1"/>
        <v/>
      </c>
      <c r="I11" s="6" t="s">
        <v>369</v>
      </c>
      <c r="J11" s="6" t="s">
        <v>370</v>
      </c>
      <c r="K11" s="19"/>
      <c r="L11" s="19"/>
      <c r="M11" s="15">
        <f t="shared" ref="M11:M22" si="6">IFERROR(K11+L11,"")</f>
        <v>0</v>
      </c>
      <c r="S11" s="13" t="str">
        <f t="shared" si="5"/>
        <v>KOSONG: isi kunjungan JKN dan Non-JKN (kolom B, C)</v>
      </c>
      <c r="T11" s="13" t="str">
        <f>IF(COUNTA(K11:L11)&gt;COUNT(K11:L11),"CEK: ada isian bukan angka",IF(COUNT(K11:L11)=0,"KOSONG: isi volume JKN (K) dan Non-JKN (L)",IF(COUNT(K11:L11)&lt;2,"BELUM LENGKAP: isi K dan L (boleh 0)",IF(OR(K11&lt;0,L11&lt;0,K11&lt;&gt;INT(K11),L11&lt;&gt;INT(L11)),"CEK: harus bilangan bulat ≥ 0","OK"))))</f>
        <v>KOSONG: isi volume JKN (K) dan Non-JKN (L)</v>
      </c>
    </row>
    <row r="12" spans="1:20" x14ac:dyDescent="0.3">
      <c r="A12" s="6" t="s">
        <v>371</v>
      </c>
      <c r="B12" s="19"/>
      <c r="C12" s="19"/>
      <c r="D12" s="19"/>
      <c r="E12" s="19"/>
      <c r="F12" s="15" t="str">
        <f t="shared" si="0"/>
        <v/>
      </c>
      <c r="G12" s="15" t="str">
        <f t="shared" si="1"/>
        <v/>
      </c>
      <c r="I12" s="6" t="s">
        <v>372</v>
      </c>
      <c r="J12" s="6" t="s">
        <v>373</v>
      </c>
      <c r="K12" s="19"/>
      <c r="L12" s="19"/>
      <c r="M12" s="15">
        <f t="shared" si="6"/>
        <v>0</v>
      </c>
      <c r="S12" s="13" t="str">
        <f t="shared" si="5"/>
        <v>KOSONG: isi kunjungan JKN dan Non-JKN (kolom B, C)</v>
      </c>
      <c r="T12" s="13" t="str">
        <f>IF(COUNTA(K12:L12)&gt;COUNT(K12:L12),"CEK: ada isian bukan angka",IF(COUNT(K12:L12)=0,"KOSONG: isi volume JKN (K) dan Non-JKN (L)",IF(COUNT(K12:L12)&lt;2,"BELUM LENGKAP: isi K dan L (boleh 0)",IF(OR(K12&lt;0,L12&lt;0,K12&lt;&gt;INT(K12),L12&lt;&gt;INT(L12)),"CEK: harus bilangan bulat ≥ 0","OK"))))</f>
        <v>KOSONG: isi volume JKN (K) dan Non-JKN (L)</v>
      </c>
    </row>
    <row r="13" spans="1:20" x14ac:dyDescent="0.3">
      <c r="A13" s="6" t="s">
        <v>374</v>
      </c>
      <c r="B13" s="19"/>
      <c r="C13" s="19"/>
      <c r="D13" s="19"/>
      <c r="E13" s="19"/>
      <c r="F13" s="15" t="str">
        <f t="shared" si="0"/>
        <v/>
      </c>
      <c r="G13" s="15" t="str">
        <f t="shared" si="1"/>
        <v/>
      </c>
      <c r="I13" s="6" t="s">
        <v>375</v>
      </c>
      <c r="J13" s="6" t="s">
        <v>376</v>
      </c>
      <c r="K13" s="19"/>
      <c r="L13" s="19"/>
      <c r="M13" s="15">
        <f t="shared" si="6"/>
        <v>0</v>
      </c>
      <c r="S13" s="13" t="str">
        <f t="shared" si="5"/>
        <v>KOSONG: isi kunjungan JKN dan Non-JKN (kolom B, C)</v>
      </c>
      <c r="T13" s="13" t="str">
        <f>IF(COUNTA(K13:L13)&gt;COUNT(K13:L13),"CEK: ada isian bukan angka",IF(COUNT(K13:L13)=0,"KOSONG: isi volume JKN (K) dan Non-JKN (L)",IF(COUNT(K13:L13)&lt;2,"BELUM LENGKAP: isi K dan L (boleh 0)",IF(OR(K13&lt;0,L13&lt;0,K13&lt;&gt;INT(K13),L13&lt;&gt;INT(L13)),"CEK: harus bilangan bulat ≥ 0","OK"))))</f>
        <v>KOSONG: isi volume JKN (K) dan Non-JKN (L)</v>
      </c>
    </row>
    <row r="14" spans="1:20" x14ac:dyDescent="0.3">
      <c r="A14" s="6" t="s">
        <v>377</v>
      </c>
      <c r="B14" s="19"/>
      <c r="C14" s="19"/>
      <c r="D14" s="19"/>
      <c r="E14" s="19"/>
      <c r="F14" s="15" t="str">
        <f t="shared" si="0"/>
        <v/>
      </c>
      <c r="G14" s="15" t="str">
        <f t="shared" si="1"/>
        <v/>
      </c>
      <c r="I14" s="6" t="s">
        <v>378</v>
      </c>
      <c r="J14" s="6" t="s">
        <v>379</v>
      </c>
      <c r="K14" s="19"/>
      <c r="L14" s="19"/>
      <c r="M14" s="15">
        <f t="shared" si="6"/>
        <v>0</v>
      </c>
      <c r="S14" s="13" t="str">
        <f t="shared" si="5"/>
        <v>KOSONG: isi kunjungan JKN dan Non-JKN (kolom B, C)</v>
      </c>
      <c r="T14" s="13" t="str">
        <f>IF(COUNTA(K14:L14)&gt;COUNT(K14:L14),"CEK: ada isian bukan angka",IF(COUNT(K14:L14)=0,"KOSONG: isi volume JKN (K) dan Non-JKN (L)",IF(COUNT(K14:L14)&lt;2,"BELUM LENGKAP: isi K dan L (boleh 0)",IF(OR(K14&lt;0,L14&lt;0,K14&lt;&gt;INT(K14),L14&lt;&gt;INT(L14)),"CEK: harus bilangan bulat ≥ 0","OK"))))</f>
        <v>KOSONG: isi volume JKN (K) dan Non-JKN (L)</v>
      </c>
    </row>
    <row r="15" spans="1:20" x14ac:dyDescent="0.3">
      <c r="A15" s="6" t="s">
        <v>380</v>
      </c>
      <c r="B15" s="19"/>
      <c r="C15" s="19"/>
      <c r="D15" s="19"/>
      <c r="E15" s="19"/>
      <c r="F15" s="15" t="str">
        <f t="shared" si="0"/>
        <v/>
      </c>
      <c r="G15" s="15" t="str">
        <f t="shared" si="1"/>
        <v/>
      </c>
      <c r="I15" s="6" t="s">
        <v>381</v>
      </c>
      <c r="J15" s="6" t="s">
        <v>382</v>
      </c>
      <c r="K15" s="19"/>
      <c r="L15" s="19"/>
      <c r="M15" s="15">
        <f t="shared" si="6"/>
        <v>0</v>
      </c>
      <c r="S15" s="13" t="str">
        <f t="shared" si="5"/>
        <v>KOSONG: isi kunjungan JKN dan Non-JKN (kolom B, C)</v>
      </c>
      <c r="T15" s="13" t="str">
        <f>IF(COUNTA(K15:L15)&gt;COUNT(K15:L15),"CEK: ada isian bukan angka",IF(COUNT(K15:L15)=0,"KOSONG: isi volume JKN (K) dan Non-JKN (L)",IF(COUNT(K15:L15)&lt;2,"BELUM LENGKAP: isi K dan L (boleh 0)",IF(OR(K15&lt;0,L15&lt;0,K15&lt;&gt;INT(K15),L15&lt;&gt;INT(L15)),"CEK: harus bilangan bulat ≥ 0","OK"))))</f>
        <v>KOSONG: isi volume JKN (K) dan Non-JKN (L)</v>
      </c>
    </row>
    <row r="16" spans="1:20" x14ac:dyDescent="0.3">
      <c r="A16" s="6" t="s">
        <v>383</v>
      </c>
      <c r="B16" s="19"/>
      <c r="C16" s="19"/>
      <c r="D16" s="19"/>
      <c r="E16" s="19"/>
      <c r="F16" s="15" t="str">
        <f t="shared" si="0"/>
        <v/>
      </c>
      <c r="G16" s="15" t="str">
        <f t="shared" si="1"/>
        <v/>
      </c>
      <c r="I16" s="6" t="s">
        <v>384</v>
      </c>
      <c r="J16" s="6" t="s">
        <v>385</v>
      </c>
      <c r="K16" s="19"/>
      <c r="L16" s="19"/>
      <c r="M16" s="15">
        <f t="shared" si="6"/>
        <v>0</v>
      </c>
      <c r="S16" s="13" t="str">
        <f t="shared" si="5"/>
        <v>KOSONG: isi kunjungan JKN dan Non-JKN (kolom B, C)</v>
      </c>
      <c r="T16" s="13" t="str">
        <f>IF(COUNTA(K16:L16)&gt;COUNT(K16:L16),"CEK: ada isian bukan angka",IF(COUNT(K16:L16)=0,"KOSONG: isi volume JKN (K) dan Non-JKN (L)",IF(COUNT(K16:L16)&lt;2,"BELUM LENGKAP: isi K dan L (boleh 0)",IF(OR(K16&lt;0,L16&lt;0),"CEK: harus angka ≥ 0","OK"))))</f>
        <v>KOSONG: isi volume JKN (K) dan Non-JKN (L)</v>
      </c>
    </row>
    <row r="17" spans="1:20" x14ac:dyDescent="0.3">
      <c r="A17" s="6" t="s">
        <v>386</v>
      </c>
      <c r="B17" s="19"/>
      <c r="C17" s="19"/>
      <c r="D17" s="19"/>
      <c r="E17" s="19"/>
      <c r="F17" s="15" t="str">
        <f t="shared" si="0"/>
        <v/>
      </c>
      <c r="G17" s="15" t="str">
        <f t="shared" si="1"/>
        <v/>
      </c>
      <c r="I17" s="6" t="s">
        <v>387</v>
      </c>
      <c r="J17" s="6" t="s">
        <v>388</v>
      </c>
      <c r="K17" s="15">
        <f>IFERROR(D32,"")</f>
        <v>0</v>
      </c>
      <c r="L17" s="15">
        <f>IFERROR(E32,"")</f>
        <v>0</v>
      </c>
      <c r="M17" s="15">
        <f t="shared" si="6"/>
        <v>0</v>
      </c>
      <c r="S17" s="13" t="str">
        <f t="shared" si="5"/>
        <v>KOSONG: isi kunjungan JKN dan Non-JKN (kolom B, C)</v>
      </c>
      <c r="T17" s="13" t="s">
        <v>389</v>
      </c>
    </row>
    <row r="18" spans="1:20" x14ac:dyDescent="0.3">
      <c r="A18" s="6" t="s">
        <v>390</v>
      </c>
      <c r="B18" s="19"/>
      <c r="C18" s="19"/>
      <c r="D18" s="19"/>
      <c r="E18" s="19"/>
      <c r="F18" s="15" t="str">
        <f t="shared" si="0"/>
        <v/>
      </c>
      <c r="G18" s="15" t="str">
        <f t="shared" si="1"/>
        <v/>
      </c>
      <c r="I18" s="6" t="s">
        <v>391</v>
      </c>
      <c r="J18" s="6" t="s">
        <v>392</v>
      </c>
      <c r="K18" s="19"/>
      <c r="L18" s="19"/>
      <c r="M18" s="15">
        <f t="shared" si="6"/>
        <v>0</v>
      </c>
      <c r="S18" s="13" t="str">
        <f t="shared" si="5"/>
        <v>KOSONG: isi kunjungan JKN dan Non-JKN (kolom B, C)</v>
      </c>
      <c r="T18" s="13" t="str">
        <f>IF(COUNTA(K18:L18)&gt;COUNT(K18:L18),"CEK: ada isian bukan angka",IF(COUNT(K18:L18)=0,"KOSONG: isi volume JKN (K) dan Non-JKN (L)",IF(COUNT(K18:L18)&lt;2,"BELUM LENGKAP: isi K dan L (boleh 0)",IF(OR(K18&lt;0,L18&lt;0),"CEK: harus angka ≥ 0","OK"))))</f>
        <v>KOSONG: isi volume JKN (K) dan Non-JKN (L)</v>
      </c>
    </row>
    <row r="19" spans="1:20" x14ac:dyDescent="0.3">
      <c r="A19" s="6" t="s">
        <v>393</v>
      </c>
      <c r="B19" s="19"/>
      <c r="C19" s="19"/>
      <c r="D19" s="19"/>
      <c r="E19" s="19"/>
      <c r="F19" s="15" t="str">
        <f t="shared" si="0"/>
        <v/>
      </c>
      <c r="G19" s="15" t="str">
        <f t="shared" si="1"/>
        <v/>
      </c>
      <c r="I19" s="6" t="s">
        <v>394</v>
      </c>
      <c r="J19" s="6" t="s">
        <v>395</v>
      </c>
      <c r="K19" s="19"/>
      <c r="L19" s="19"/>
      <c r="M19" s="15">
        <f t="shared" si="6"/>
        <v>0</v>
      </c>
      <c r="S19" s="13" t="str">
        <f t="shared" si="5"/>
        <v>KOSONG: isi kunjungan JKN dan Non-JKN (kolom B, C)</v>
      </c>
      <c r="T19" s="13" t="str">
        <f>IF(COUNTA(K19:L19)&gt;COUNT(K19:L19),"CEK: ada isian bukan angka",IF(COUNT(K19:L19)=0,"KOSONG: isi volume JKN (K) dan Non-JKN (L)",IF(COUNT(K19:L19)&lt;2,"BELUM LENGKAP: isi K dan L (boleh 0)",IF(OR(K19&lt;0,L19&lt;0,K19&lt;&gt;INT(K19),L19&lt;&gt;INT(L19)),"CEK: harus bilangan bulat ≥ 0","OK"))))</f>
        <v>KOSONG: isi volume JKN (K) dan Non-JKN (L)</v>
      </c>
    </row>
    <row r="20" spans="1:20" x14ac:dyDescent="0.3">
      <c r="A20" s="6" t="s">
        <v>396</v>
      </c>
      <c r="B20" s="19"/>
      <c r="C20" s="19"/>
      <c r="D20" s="19"/>
      <c r="E20" s="19"/>
      <c r="F20" s="15" t="str">
        <f t="shared" si="0"/>
        <v/>
      </c>
      <c r="G20" s="15" t="str">
        <f t="shared" si="1"/>
        <v/>
      </c>
      <c r="I20" s="6" t="s">
        <v>397</v>
      </c>
      <c r="J20" s="6" t="s">
        <v>398</v>
      </c>
      <c r="K20" s="19"/>
      <c r="L20" s="19"/>
      <c r="M20" s="15">
        <f t="shared" si="6"/>
        <v>0</v>
      </c>
      <c r="S20" s="13" t="str">
        <f t="shared" si="5"/>
        <v>KOSONG: isi kunjungan JKN dan Non-JKN (kolom B, C)</v>
      </c>
      <c r="T20" s="13" t="str">
        <f>IF(COUNTA(K20:L20)&gt;COUNT(K20:L20),"CEK: ada isian bukan angka",IF(COUNT(K20:L20)=0,"KOSONG: isi volume JKN (K) dan Non-JKN (L)",IF(COUNT(K20:L20)&lt;2,"BELUM LENGKAP: isi K dan L (boleh 0)",IF(OR(K20&lt;0,L20&lt;0),"CEK: harus angka ≥ 0","OK"))))</f>
        <v>KOSONG: isi volume JKN (K) dan Non-JKN (L)</v>
      </c>
    </row>
    <row r="21" spans="1:20" x14ac:dyDescent="0.3">
      <c r="A21" s="6" t="s">
        <v>399</v>
      </c>
      <c r="B21" s="19"/>
      <c r="C21" s="19"/>
      <c r="D21" s="19"/>
      <c r="E21" s="19"/>
      <c r="F21" s="15" t="str">
        <f t="shared" si="0"/>
        <v/>
      </c>
      <c r="G21" s="15" t="str">
        <f t="shared" si="1"/>
        <v/>
      </c>
      <c r="I21" s="6" t="s">
        <v>400</v>
      </c>
      <c r="J21" s="6" t="s">
        <v>401</v>
      </c>
      <c r="K21" s="19"/>
      <c r="L21" s="19"/>
      <c r="M21" s="15">
        <f t="shared" si="6"/>
        <v>0</v>
      </c>
      <c r="S21" s="13" t="str">
        <f t="shared" si="5"/>
        <v>KOSONG: isi kunjungan JKN dan Non-JKN (kolom B, C)</v>
      </c>
      <c r="T21" s="13" t="str">
        <f>IF(COUNTA(K21:L21)&gt;COUNT(K21:L21),"CEK: ada isian bukan angka",IF(COUNT(K21:L21)=0,"KOSONG: isi volume JKN (K) dan Non-JKN (L)",IF(COUNT(K21:L21)&lt;2,"BELUM LENGKAP: isi K dan L (boleh 0)",IF(OR(K21&lt;0,L21&lt;0,K21&lt;&gt;INT(K21),L21&lt;&gt;INT(L21)),"CEK: harus bilangan bulat ≥ 0","OK"))))</f>
        <v>KOSONG: isi volume JKN (K) dan Non-JKN (L)</v>
      </c>
    </row>
    <row r="22" spans="1:20" x14ac:dyDescent="0.3">
      <c r="A22" s="6" t="s">
        <v>402</v>
      </c>
      <c r="B22" s="19"/>
      <c r="C22" s="19"/>
      <c r="D22" s="19"/>
      <c r="E22" s="19"/>
      <c r="F22" s="15" t="str">
        <f t="shared" si="0"/>
        <v/>
      </c>
      <c r="G22" s="15" t="str">
        <f t="shared" si="1"/>
        <v/>
      </c>
      <c r="I22" s="6" t="s">
        <v>403</v>
      </c>
      <c r="J22" s="6" t="s">
        <v>404</v>
      </c>
      <c r="K22" s="19"/>
      <c r="L22" s="19"/>
      <c r="M22" s="15">
        <f t="shared" si="6"/>
        <v>0</v>
      </c>
      <c r="S22" s="13" t="str">
        <f t="shared" si="5"/>
        <v>KOSONG: isi kunjungan JKN dan Non-JKN (kolom B, C)</v>
      </c>
      <c r="T22" s="13" t="str">
        <f>IF(COUNTA(K22:L22)&gt;COUNT(K22:L22),"CEK: ada isian bukan angka",IF(COUNT(K22:L22)=0,"KOSONG: isi volume JKN (K) dan Non-JKN (L)",IF(COUNT(K22:L22)&lt;2,"BELUM LENGKAP: isi K dan L (boleh 0)",IF(OR(K22&lt;0,L22&lt;0,K22&lt;&gt;INT(K22),L22&lt;&gt;INT(L22)),"CEK: harus bilangan bulat ≥ 0","OK"))))</f>
        <v>KOSONG: isi volume JKN (K) dan Non-JKN (L)</v>
      </c>
    </row>
    <row r="23" spans="1:20" x14ac:dyDescent="0.3">
      <c r="A23" s="6" t="s">
        <v>405</v>
      </c>
      <c r="B23" s="19"/>
      <c r="C23" s="19"/>
      <c r="D23" s="19"/>
      <c r="E23" s="19"/>
      <c r="F23" s="15" t="str">
        <f t="shared" si="0"/>
        <v/>
      </c>
      <c r="G23" s="15" t="str">
        <f t="shared" si="1"/>
        <v/>
      </c>
      <c r="S23" s="13" t="str">
        <f t="shared" si="5"/>
        <v>KOSONG: isi kunjungan JKN dan Non-JKN (kolom B, C)</v>
      </c>
    </row>
    <row r="24" spans="1:20" x14ac:dyDescent="0.3">
      <c r="A24" s="6" t="s">
        <v>406</v>
      </c>
      <c r="B24" s="19"/>
      <c r="C24" s="19"/>
      <c r="D24" s="19"/>
      <c r="E24" s="19"/>
      <c r="F24" s="15" t="str">
        <f t="shared" si="0"/>
        <v/>
      </c>
      <c r="G24" s="15" t="str">
        <f t="shared" si="1"/>
        <v/>
      </c>
      <c r="I24" s="23" t="s">
        <v>407</v>
      </c>
      <c r="S24" s="13" t="str">
        <f t="shared" si="5"/>
        <v>KOSONG: isi kunjungan JKN dan Non-JKN (kolom B, C)</v>
      </c>
    </row>
    <row r="25" spans="1:20" x14ac:dyDescent="0.3">
      <c r="A25" s="6" t="s">
        <v>408</v>
      </c>
      <c r="B25" s="19"/>
      <c r="C25" s="19"/>
      <c r="D25" s="19"/>
      <c r="E25" s="19"/>
      <c r="F25" s="15" t="str">
        <f t="shared" si="0"/>
        <v/>
      </c>
      <c r="G25" s="15" t="str">
        <f t="shared" si="1"/>
        <v/>
      </c>
      <c r="S25" s="13" t="str">
        <f t="shared" si="5"/>
        <v>KOSONG: isi kunjungan JKN dan Non-JKN (kolom B, C)</v>
      </c>
    </row>
    <row r="26" spans="1:20" x14ac:dyDescent="0.3">
      <c r="A26" s="6" t="s">
        <v>409</v>
      </c>
      <c r="B26" s="19"/>
      <c r="C26" s="19"/>
      <c r="D26" s="19"/>
      <c r="E26" s="19"/>
      <c r="F26" s="15" t="str">
        <f t="shared" si="0"/>
        <v/>
      </c>
      <c r="G26" s="15" t="str">
        <f t="shared" si="1"/>
        <v/>
      </c>
      <c r="S26" s="13" t="str">
        <f t="shared" si="5"/>
        <v>KOSONG: isi kunjungan JKN dan Non-JKN (kolom B, C)</v>
      </c>
    </row>
    <row r="27" spans="1:20" x14ac:dyDescent="0.3">
      <c r="A27" s="6" t="s">
        <v>410</v>
      </c>
      <c r="B27" s="19"/>
      <c r="C27" s="19"/>
      <c r="D27" s="19"/>
      <c r="E27" s="19"/>
      <c r="F27" s="15" t="str">
        <f t="shared" si="0"/>
        <v/>
      </c>
      <c r="G27" s="15" t="str">
        <f t="shared" si="1"/>
        <v/>
      </c>
      <c r="S27" s="13" t="str">
        <f t="shared" si="5"/>
        <v>KOSONG: isi kunjungan JKN dan Non-JKN (kolom B, C)</v>
      </c>
    </row>
    <row r="28" spans="1:20" x14ac:dyDescent="0.3">
      <c r="A28" s="6" t="s">
        <v>411</v>
      </c>
      <c r="B28" s="19"/>
      <c r="C28" s="19"/>
      <c r="D28" s="19"/>
      <c r="E28" s="19"/>
      <c r="F28" s="15" t="str">
        <f t="shared" si="0"/>
        <v/>
      </c>
      <c r="G28" s="15" t="str">
        <f t="shared" si="1"/>
        <v/>
      </c>
      <c r="S28" s="13" t="str">
        <f t="shared" si="5"/>
        <v>KOSONG: isi kunjungan JKN dan Non-JKN (kolom B, C)</v>
      </c>
    </row>
    <row r="29" spans="1:20" x14ac:dyDescent="0.3">
      <c r="A29" s="6" t="s">
        <v>412</v>
      </c>
      <c r="B29" s="19"/>
      <c r="C29" s="19"/>
      <c r="D29" s="19"/>
      <c r="E29" s="19"/>
      <c r="F29" s="15" t="str">
        <f t="shared" si="0"/>
        <v/>
      </c>
      <c r="G29" s="15" t="str">
        <f t="shared" si="1"/>
        <v/>
      </c>
      <c r="S29" s="13" t="str">
        <f t="shared" si="5"/>
        <v>KOSONG: isi kunjungan JKN dan Non-JKN (kolom B, C)</v>
      </c>
    </row>
    <row r="30" spans="1:20" x14ac:dyDescent="0.3">
      <c r="A30" s="6" t="s">
        <v>413</v>
      </c>
      <c r="B30" s="19"/>
      <c r="C30" s="19"/>
      <c r="D30" s="19"/>
      <c r="E30" s="19"/>
      <c r="F30" s="15" t="str">
        <f t="shared" si="0"/>
        <v/>
      </c>
      <c r="G30" s="15" t="str">
        <f t="shared" si="1"/>
        <v/>
      </c>
      <c r="S30" s="13" t="str">
        <f t="shared" si="5"/>
        <v>KOSONG: isi kunjungan JKN dan Non-JKN (kolom B, C)</v>
      </c>
    </row>
    <row r="31" spans="1:20" x14ac:dyDescent="0.3">
      <c r="A31" s="6" t="s">
        <v>378</v>
      </c>
      <c r="B31" s="19"/>
      <c r="C31" s="19"/>
      <c r="D31" s="19"/>
      <c r="E31" s="19"/>
      <c r="F31" s="15" t="str">
        <f t="shared" si="0"/>
        <v/>
      </c>
      <c r="G31" s="15" t="str">
        <f t="shared" si="1"/>
        <v/>
      </c>
      <c r="S31" s="13" t="str">
        <f t="shared" si="5"/>
        <v>KOSONG: isi kunjungan JKN dan Non-JKN (kolom B, C)</v>
      </c>
    </row>
    <row r="32" spans="1:20" x14ac:dyDescent="0.3">
      <c r="A32" s="16" t="s">
        <v>414</v>
      </c>
      <c r="B32" s="17">
        <f t="shared" ref="B32:G32" si="7">IFERROR(SUM(B2:B31),"")</f>
        <v>0</v>
      </c>
      <c r="C32" s="17">
        <f t="shared" si="7"/>
        <v>0</v>
      </c>
      <c r="D32" s="17">
        <f t="shared" si="7"/>
        <v>0</v>
      </c>
      <c r="E32" s="17">
        <f t="shared" si="7"/>
        <v>0</v>
      </c>
      <c r="F32" s="17">
        <f t="shared" si="7"/>
        <v>0</v>
      </c>
      <c r="G32" s="17">
        <f t="shared" si="7"/>
        <v>0</v>
      </c>
    </row>
    <row r="34" spans="1:17" x14ac:dyDescent="0.3">
      <c r="A34" s="23" t="s">
        <v>415</v>
      </c>
    </row>
    <row r="35" spans="1:17" x14ac:dyDescent="0.3">
      <c r="A35" s="23" t="s">
        <v>416</v>
      </c>
    </row>
    <row r="36" spans="1:17" x14ac:dyDescent="0.3">
      <c r="A36" s="23" t="s">
        <v>417</v>
      </c>
    </row>
    <row r="38" spans="1:17" ht="24" customHeight="1" x14ac:dyDescent="0.3">
      <c r="A38" s="24" t="s">
        <v>418</v>
      </c>
      <c r="B38" s="10"/>
      <c r="C38" s="10"/>
      <c r="D38" s="10"/>
      <c r="E38" s="10"/>
      <c r="F38" s="10"/>
      <c r="G38" s="10"/>
      <c r="H38" s="10"/>
      <c r="I38" s="10"/>
      <c r="J38" s="10"/>
      <c r="K38" s="10"/>
      <c r="L38" s="10"/>
      <c r="M38" s="10"/>
      <c r="N38" s="10"/>
      <c r="O38" s="10"/>
      <c r="P38" s="10"/>
      <c r="Q38" s="10"/>
    </row>
    <row r="39" spans="1:17" ht="24" customHeight="1" x14ac:dyDescent="0.3">
      <c r="A39" s="11" t="s">
        <v>419</v>
      </c>
      <c r="B39" s="2" t="s">
        <v>190</v>
      </c>
      <c r="C39" s="2"/>
      <c r="D39" s="2"/>
      <c r="E39" s="2"/>
      <c r="F39" s="2"/>
      <c r="G39" s="2"/>
      <c r="I39" s="2" t="s">
        <v>420</v>
      </c>
      <c r="J39" s="2"/>
      <c r="K39" s="2"/>
      <c r="L39" s="2"/>
      <c r="M39" s="2"/>
      <c r="N39" s="2"/>
      <c r="O39" s="2"/>
      <c r="P39" s="2"/>
      <c r="Q39" s="2"/>
    </row>
    <row r="40" spans="1:17" ht="30.75" customHeight="1" x14ac:dyDescent="0.3">
      <c r="A40" s="5" t="s">
        <v>421</v>
      </c>
      <c r="B40" s="1" t="s">
        <v>422</v>
      </c>
      <c r="C40" s="1"/>
      <c r="D40" s="1"/>
      <c r="E40" s="1"/>
      <c r="F40" s="1"/>
      <c r="G40" s="1"/>
      <c r="I40" s="1" t="s">
        <v>423</v>
      </c>
      <c r="J40" s="1"/>
      <c r="K40" s="1"/>
      <c r="L40" s="1"/>
      <c r="M40" s="1"/>
      <c r="N40" s="1"/>
      <c r="O40" s="1"/>
      <c r="P40" s="1"/>
      <c r="Q40" s="1"/>
    </row>
    <row r="41" spans="1:17" ht="19.5" customHeight="1" x14ac:dyDescent="0.3">
      <c r="A41" s="5" t="s">
        <v>424</v>
      </c>
      <c r="B41" s="1" t="s">
        <v>425</v>
      </c>
      <c r="C41" s="1"/>
      <c r="D41" s="1"/>
      <c r="E41" s="1"/>
      <c r="F41" s="1"/>
      <c r="G41" s="1"/>
      <c r="I41" s="1" t="s">
        <v>426</v>
      </c>
      <c r="J41" s="1"/>
      <c r="K41" s="1"/>
      <c r="L41" s="1"/>
      <c r="M41" s="1"/>
      <c r="N41" s="1"/>
      <c r="O41" s="1"/>
      <c r="P41" s="1"/>
      <c r="Q41" s="1"/>
    </row>
    <row r="42" spans="1:17" ht="30.75" customHeight="1" x14ac:dyDescent="0.3">
      <c r="A42" s="5" t="s">
        <v>427</v>
      </c>
      <c r="B42" s="1" t="s">
        <v>428</v>
      </c>
      <c r="C42" s="1"/>
      <c r="D42" s="1"/>
      <c r="E42" s="1"/>
      <c r="F42" s="1"/>
      <c r="G42" s="1"/>
      <c r="I42" s="1" t="s">
        <v>429</v>
      </c>
      <c r="J42" s="1"/>
      <c r="K42" s="1"/>
      <c r="L42" s="1"/>
      <c r="M42" s="1"/>
      <c r="N42" s="1"/>
      <c r="O42" s="1"/>
      <c r="P42" s="1"/>
      <c r="Q42" s="1"/>
    </row>
    <row r="43" spans="1:17" ht="19.5" customHeight="1" x14ac:dyDescent="0.3">
      <c r="A43" s="5" t="s">
        <v>430</v>
      </c>
      <c r="B43" s="1" t="s">
        <v>431</v>
      </c>
      <c r="C43" s="1"/>
      <c r="D43" s="1"/>
      <c r="E43" s="1"/>
      <c r="F43" s="1"/>
      <c r="G43" s="1"/>
      <c r="I43" s="1" t="s">
        <v>432</v>
      </c>
      <c r="J43" s="1"/>
      <c r="K43" s="1"/>
      <c r="L43" s="1"/>
      <c r="M43" s="1"/>
      <c r="N43" s="1"/>
      <c r="O43" s="1"/>
      <c r="P43" s="1"/>
      <c r="Q43" s="1"/>
    </row>
    <row r="44" spans="1:17" ht="19.5" customHeight="1" x14ac:dyDescent="0.3">
      <c r="A44" s="5" t="s">
        <v>433</v>
      </c>
      <c r="B44" s="1" t="s">
        <v>434</v>
      </c>
      <c r="C44" s="1"/>
      <c r="D44" s="1"/>
      <c r="E44" s="1"/>
      <c r="F44" s="1"/>
      <c r="G44" s="1"/>
      <c r="I44" s="1" t="s">
        <v>435</v>
      </c>
      <c r="J44" s="1"/>
      <c r="K44" s="1"/>
      <c r="L44" s="1"/>
      <c r="M44" s="1"/>
      <c r="N44" s="1"/>
      <c r="O44" s="1"/>
      <c r="P44" s="1"/>
      <c r="Q44" s="1"/>
    </row>
    <row r="45" spans="1:17" ht="30.75" customHeight="1" x14ac:dyDescent="0.3">
      <c r="A45" s="5" t="s">
        <v>436</v>
      </c>
      <c r="B45" s="1" t="s">
        <v>437</v>
      </c>
      <c r="C45" s="1"/>
      <c r="D45" s="1"/>
      <c r="E45" s="1"/>
      <c r="F45" s="1"/>
      <c r="G45" s="1"/>
      <c r="I45" s="1" t="s">
        <v>438</v>
      </c>
      <c r="J45" s="1"/>
      <c r="K45" s="1"/>
      <c r="L45" s="1"/>
      <c r="M45" s="1"/>
      <c r="N45" s="1"/>
      <c r="O45" s="1"/>
      <c r="P45" s="1"/>
      <c r="Q45" s="1"/>
    </row>
    <row r="46" spans="1:17" ht="30.75" customHeight="1" x14ac:dyDescent="0.3">
      <c r="A46" s="5" t="s">
        <v>439</v>
      </c>
      <c r="B46" s="1" t="s">
        <v>440</v>
      </c>
      <c r="C46" s="1"/>
      <c r="D46" s="1"/>
      <c r="E46" s="1"/>
      <c r="F46" s="1"/>
      <c r="G46" s="1"/>
      <c r="I46" s="1" t="s">
        <v>441</v>
      </c>
      <c r="J46" s="1"/>
      <c r="K46" s="1"/>
      <c r="L46" s="1"/>
      <c r="M46" s="1"/>
      <c r="N46" s="1"/>
      <c r="O46" s="1"/>
      <c r="P46" s="1"/>
      <c r="Q46" s="1"/>
    </row>
    <row r="47" spans="1:17" ht="19.5" customHeight="1" x14ac:dyDescent="0.3">
      <c r="A47" s="5" t="s">
        <v>442</v>
      </c>
      <c r="B47" s="1" t="s">
        <v>443</v>
      </c>
      <c r="C47" s="1"/>
      <c r="D47" s="1"/>
      <c r="E47" s="1"/>
      <c r="F47" s="1"/>
      <c r="G47" s="1"/>
      <c r="I47" s="1" t="s">
        <v>444</v>
      </c>
      <c r="J47" s="1"/>
      <c r="K47" s="1"/>
      <c r="L47" s="1"/>
      <c r="M47" s="1"/>
      <c r="N47" s="1"/>
      <c r="O47" s="1"/>
      <c r="P47" s="1"/>
      <c r="Q47" s="1"/>
    </row>
    <row r="48" spans="1:17" ht="19.5" customHeight="1" x14ac:dyDescent="0.3">
      <c r="A48" s="5" t="s">
        <v>445</v>
      </c>
      <c r="B48" s="1" t="s">
        <v>446</v>
      </c>
      <c r="C48" s="1"/>
      <c r="D48" s="1"/>
      <c r="E48" s="1"/>
      <c r="F48" s="1"/>
      <c r="G48" s="1"/>
      <c r="I48" s="1" t="s">
        <v>447</v>
      </c>
      <c r="J48" s="1"/>
      <c r="K48" s="1"/>
      <c r="L48" s="1"/>
      <c r="M48" s="1"/>
      <c r="N48" s="1"/>
      <c r="O48" s="1"/>
      <c r="P48" s="1"/>
      <c r="Q48" s="1"/>
    </row>
    <row r="49" spans="1:17" ht="30.75" customHeight="1" x14ac:dyDescent="0.3">
      <c r="A49" s="5" t="s">
        <v>448</v>
      </c>
      <c r="B49" s="1" t="s">
        <v>449</v>
      </c>
      <c r="C49" s="1"/>
      <c r="D49" s="1"/>
      <c r="E49" s="1"/>
      <c r="F49" s="1"/>
      <c r="G49" s="1"/>
      <c r="I49" s="1" t="s">
        <v>450</v>
      </c>
      <c r="J49" s="1"/>
      <c r="K49" s="1"/>
      <c r="L49" s="1"/>
      <c r="M49" s="1"/>
      <c r="N49" s="1"/>
      <c r="O49" s="1"/>
      <c r="P49" s="1"/>
      <c r="Q49" s="1"/>
    </row>
    <row r="50" spans="1:17" ht="19.5" customHeight="1" x14ac:dyDescent="0.3">
      <c r="A50" s="5" t="s">
        <v>451</v>
      </c>
      <c r="B50" s="1" t="s">
        <v>452</v>
      </c>
      <c r="C50" s="1"/>
      <c r="D50" s="1"/>
      <c r="E50" s="1"/>
      <c r="F50" s="1"/>
      <c r="G50" s="1"/>
      <c r="I50" s="1" t="s">
        <v>450</v>
      </c>
      <c r="J50" s="1"/>
      <c r="K50" s="1"/>
      <c r="L50" s="1"/>
      <c r="M50" s="1"/>
      <c r="N50" s="1"/>
      <c r="O50" s="1"/>
      <c r="P50" s="1"/>
      <c r="Q50" s="1"/>
    </row>
    <row r="51" spans="1:17" ht="19.5" customHeight="1" x14ac:dyDescent="0.3">
      <c r="A51" s="5" t="s">
        <v>453</v>
      </c>
      <c r="B51" s="1" t="s">
        <v>454</v>
      </c>
      <c r="C51" s="1"/>
      <c r="D51" s="1"/>
      <c r="E51" s="1"/>
      <c r="F51" s="1"/>
      <c r="G51" s="1"/>
      <c r="I51" s="1" t="s">
        <v>450</v>
      </c>
      <c r="J51" s="1"/>
      <c r="K51" s="1"/>
      <c r="L51" s="1"/>
      <c r="M51" s="1"/>
      <c r="N51" s="1"/>
      <c r="O51" s="1"/>
      <c r="P51" s="1"/>
      <c r="Q51" s="1"/>
    </row>
    <row r="52" spans="1:17" ht="19.5" customHeight="1" x14ac:dyDescent="0.3">
      <c r="A52" s="5" t="s">
        <v>455</v>
      </c>
      <c r="B52" s="1" t="s">
        <v>456</v>
      </c>
      <c r="C52" s="1"/>
      <c r="D52" s="1"/>
      <c r="E52" s="1"/>
      <c r="F52" s="1"/>
      <c r="G52" s="1"/>
      <c r="I52" s="1" t="s">
        <v>450</v>
      </c>
      <c r="J52" s="1"/>
      <c r="K52" s="1"/>
      <c r="L52" s="1"/>
      <c r="M52" s="1"/>
      <c r="N52" s="1"/>
      <c r="O52" s="1"/>
      <c r="P52" s="1"/>
      <c r="Q52" s="1"/>
    </row>
    <row r="53" spans="1:17" ht="19.5" customHeight="1" x14ac:dyDescent="0.3">
      <c r="A53" s="5" t="s">
        <v>457</v>
      </c>
      <c r="B53" s="1" t="s">
        <v>458</v>
      </c>
      <c r="C53" s="1"/>
      <c r="D53" s="1"/>
      <c r="E53" s="1"/>
      <c r="F53" s="1"/>
      <c r="G53" s="1"/>
      <c r="I53" s="1" t="s">
        <v>459</v>
      </c>
      <c r="J53" s="1"/>
      <c r="K53" s="1"/>
      <c r="L53" s="1"/>
      <c r="M53" s="1"/>
      <c r="N53" s="1"/>
      <c r="O53" s="1"/>
      <c r="P53" s="1"/>
      <c r="Q53" s="1"/>
    </row>
    <row r="54" spans="1:17" ht="19.5" customHeight="1" x14ac:dyDescent="0.3">
      <c r="A54" s="5" t="s">
        <v>460</v>
      </c>
      <c r="B54" s="1" t="s">
        <v>461</v>
      </c>
      <c r="C54" s="1"/>
      <c r="D54" s="1"/>
      <c r="E54" s="1"/>
      <c r="F54" s="1"/>
      <c r="G54" s="1"/>
      <c r="I54" s="1" t="s">
        <v>462</v>
      </c>
      <c r="J54" s="1"/>
      <c r="K54" s="1"/>
      <c r="L54" s="1"/>
      <c r="M54" s="1"/>
      <c r="N54" s="1"/>
      <c r="O54" s="1"/>
      <c r="P54" s="1"/>
      <c r="Q54" s="1"/>
    </row>
    <row r="55" spans="1:17" ht="19.5" customHeight="1" x14ac:dyDescent="0.3">
      <c r="A55" s="5" t="s">
        <v>463</v>
      </c>
      <c r="B55" s="1" t="s">
        <v>464</v>
      </c>
      <c r="C55" s="1"/>
      <c r="D55" s="1"/>
      <c r="E55" s="1"/>
      <c r="F55" s="1"/>
      <c r="G55" s="1"/>
      <c r="I55" s="1" t="s">
        <v>465</v>
      </c>
      <c r="J55" s="1"/>
      <c r="K55" s="1"/>
      <c r="L55" s="1"/>
      <c r="M55" s="1"/>
      <c r="N55" s="1"/>
      <c r="O55" s="1"/>
      <c r="P55" s="1"/>
      <c r="Q55" s="1"/>
    </row>
    <row r="56" spans="1:17" ht="19.5" customHeight="1" x14ac:dyDescent="0.3">
      <c r="A56" s="5" t="s">
        <v>466</v>
      </c>
      <c r="B56" s="1" t="s">
        <v>467</v>
      </c>
      <c r="C56" s="1"/>
      <c r="D56" s="1"/>
      <c r="E56" s="1"/>
      <c r="F56" s="1"/>
      <c r="G56" s="1"/>
      <c r="I56" s="1" t="s">
        <v>450</v>
      </c>
      <c r="J56" s="1"/>
      <c r="K56" s="1"/>
      <c r="L56" s="1"/>
      <c r="M56" s="1"/>
      <c r="N56" s="1"/>
      <c r="O56" s="1"/>
      <c r="P56" s="1"/>
      <c r="Q56" s="1"/>
    </row>
    <row r="57" spans="1:17" ht="30.75" customHeight="1" x14ac:dyDescent="0.3">
      <c r="A57" s="5" t="s">
        <v>468</v>
      </c>
      <c r="B57" s="1" t="s">
        <v>469</v>
      </c>
      <c r="C57" s="1"/>
      <c r="D57" s="1"/>
      <c r="E57" s="1"/>
      <c r="F57" s="1"/>
      <c r="G57" s="1"/>
      <c r="I57" s="1" t="s">
        <v>465</v>
      </c>
      <c r="J57" s="1"/>
      <c r="K57" s="1"/>
      <c r="L57" s="1"/>
      <c r="M57" s="1"/>
      <c r="N57" s="1"/>
      <c r="O57" s="1"/>
      <c r="P57" s="1"/>
      <c r="Q57" s="1"/>
    </row>
    <row r="58" spans="1:17" ht="19.5" customHeight="1" x14ac:dyDescent="0.3">
      <c r="A58" s="5" t="s">
        <v>470</v>
      </c>
      <c r="B58" s="1" t="s">
        <v>471</v>
      </c>
      <c r="C58" s="1"/>
      <c r="D58" s="1"/>
      <c r="E58" s="1"/>
      <c r="F58" s="1"/>
      <c r="G58" s="1"/>
      <c r="I58" s="1" t="s">
        <v>450</v>
      </c>
      <c r="J58" s="1"/>
      <c r="K58" s="1"/>
      <c r="L58" s="1"/>
      <c r="M58" s="1"/>
      <c r="N58" s="1"/>
      <c r="O58" s="1"/>
      <c r="P58" s="1"/>
      <c r="Q58" s="1"/>
    </row>
    <row r="59" spans="1:17" ht="19.5" customHeight="1" x14ac:dyDescent="0.3">
      <c r="A59" s="5" t="s">
        <v>472</v>
      </c>
      <c r="B59" s="1" t="s">
        <v>473</v>
      </c>
      <c r="C59" s="1"/>
      <c r="D59" s="1"/>
      <c r="E59" s="1"/>
      <c r="F59" s="1"/>
      <c r="G59" s="1"/>
      <c r="I59" s="1" t="s">
        <v>450</v>
      </c>
      <c r="J59" s="1"/>
      <c r="K59" s="1"/>
      <c r="L59" s="1"/>
      <c r="M59" s="1"/>
      <c r="N59" s="1"/>
      <c r="O59" s="1"/>
      <c r="P59" s="1"/>
      <c r="Q59" s="1"/>
    </row>
  </sheetData>
  <sheetProtection sheet="1" formatCells="0" formatColumns="0" formatRows="0"/>
  <mergeCells count="42">
    <mergeCell ref="B57:G57"/>
    <mergeCell ref="I57:Q57"/>
    <mergeCell ref="B58:G58"/>
    <mergeCell ref="I58:Q58"/>
    <mergeCell ref="B59:G59"/>
    <mergeCell ref="I59:Q59"/>
    <mergeCell ref="B54:G54"/>
    <mergeCell ref="I54:Q54"/>
    <mergeCell ref="B55:G55"/>
    <mergeCell ref="I55:Q55"/>
    <mergeCell ref="B56:G56"/>
    <mergeCell ref="I56:Q56"/>
    <mergeCell ref="B51:G51"/>
    <mergeCell ref="I51:Q51"/>
    <mergeCell ref="B52:G52"/>
    <mergeCell ref="I52:Q52"/>
    <mergeCell ref="B53:G53"/>
    <mergeCell ref="I53:Q53"/>
    <mergeCell ref="B48:G48"/>
    <mergeCell ref="I48:Q48"/>
    <mergeCell ref="B49:G49"/>
    <mergeCell ref="I49:Q49"/>
    <mergeCell ref="B50:G50"/>
    <mergeCell ref="I50:Q50"/>
    <mergeCell ref="B45:G45"/>
    <mergeCell ref="I45:Q45"/>
    <mergeCell ref="B46:G46"/>
    <mergeCell ref="I46:Q46"/>
    <mergeCell ref="B47:G47"/>
    <mergeCell ref="I47:Q47"/>
    <mergeCell ref="B42:G42"/>
    <mergeCell ref="I42:Q42"/>
    <mergeCell ref="B43:G43"/>
    <mergeCell ref="I43:Q43"/>
    <mergeCell ref="B44:G44"/>
    <mergeCell ref="I44:Q44"/>
    <mergeCell ref="B39:G39"/>
    <mergeCell ref="I39:Q39"/>
    <mergeCell ref="B40:G40"/>
    <mergeCell ref="I40:Q40"/>
    <mergeCell ref="B41:G41"/>
    <mergeCell ref="I41:Q41"/>
  </mergeCells>
  <conditionalFormatting sqref="S2:S31">
    <cfRule type="expression" dxfId="23" priority="2">
      <formula>LEFT(S2,2)="OK"</formula>
    </cfRule>
    <cfRule type="expression" dxfId="22" priority="3">
      <formula>LEFT(S2,3)="CEK"</formula>
    </cfRule>
    <cfRule type="expression" dxfId="21" priority="4">
      <formula>OR(LEFT(S2,6)="KOSONG",LEFT(S2,5)="BELUM",LEFT(S2,6)="Menung")</formula>
    </cfRule>
  </conditionalFormatting>
  <conditionalFormatting sqref="T2:T7">
    <cfRule type="expression" dxfId="20" priority="5">
      <formula>LEFT(T2,2)="OK"</formula>
    </cfRule>
    <cfRule type="expression" dxfId="19" priority="6">
      <formula>LEFT(T2,3)="CEK"</formula>
    </cfRule>
    <cfRule type="expression" dxfId="18" priority="7">
      <formula>OR(LEFT(T2,6)="KOSONG",LEFT(T2,5)="BELUM",LEFT(T2,6)="Menung")</formula>
    </cfRule>
  </conditionalFormatting>
  <conditionalFormatting sqref="T11:T22">
    <cfRule type="expression" dxfId="17" priority="8">
      <formula>LEFT(T11,2)="OK"</formula>
    </cfRule>
    <cfRule type="expression" dxfId="16" priority="9">
      <formula>LEFT(T11,3)="CEK"</formula>
    </cfRule>
    <cfRule type="expression" dxfId="15" priority="10">
      <formula>OR(LEFT(T11,6)="KOSONG",LEFT(T11,5)="BELUM",LEFT(T11,6)="Menung")</formula>
    </cfRule>
  </conditionalFormatting>
  <dataValidations xWindow="359" yWindow="408" count="8">
    <dataValidation type="whole" operator="greaterThanOrEqual" allowBlank="1" showInputMessage="1" showErrorMessage="1" errorTitle="Angka tidak valid" error="Isi bilangan bulat 0 atau lebih, tanpa titik, koma, atau desimal." promptTitle="Hari rawat setahun" prompt="Total hari rawat kelas ini selama 1 Jan sampai 31 Des. Maksimal tempat tidur × 365. Isi 0 bila tidak ada. Bilangan bulat tanpa titik atau koma." sqref="D2:E6" xr:uid="{00000000-0002-0000-0200-000000000000}">
      <formula1>0</formula1>
      <formula2>0</formula2>
    </dataValidation>
    <dataValidation type="whole" operator="greaterThanOrEqual" allowBlank="1" showInputMessage="1" showErrorMessage="1" errorTitle="Angka tidak valid" error="Isi bilangan bulat 0 atau lebih, tanpa titik, koma, atau desimal." promptTitle="Kunjungan setahun" prompt="Jumlah KUNJUNGAN (bukan pasien unik) setahun pada layanan ini. Satu kunjungan dihitung di satu layanan saja. Isi 0 bila tidak ada. Bilangan bulat tanpa titik atau koma." sqref="B7:C31" xr:uid="{00000000-0002-0000-0200-000001000000}">
      <formula1>0</formula1>
      <formula2>0</formula2>
    </dataValidation>
    <dataValidation type="whole" errorStyle="warning" allowBlank="1" showInputMessage="1" showErrorMessage="1" errorTitle="Tidak perlu diisi" error="Kunjungan tidak diisi pada baris kelas rawat inap (baris 2–6). Kosongkan atau isi 0." promptTitle="Tidak perlu diisi" prompt="Baris 2–6 untuk hari rawat (kolom D, E). Kolom ini dikosongkan." sqref="B2:C6" xr:uid="{00000000-0002-0000-0200-000002000000}">
      <formula1>0</formula1>
      <formula2>0</formula2>
    </dataValidation>
    <dataValidation type="whole" errorStyle="warning" allowBlank="1" showInputMessage="1" showErrorMessage="1" errorTitle="Tidak perlu diisi" error="Hari rawat hanya diisi pada baris 2–6. Mengisi di sini membuat hari rawat terhitung ganda pada Total Volume dan volume Gizi." promptTitle="Tidak perlu diisi" prompt="Hari rawat hanya diisi pada baris kelas rawat inap (baris 2–6). Kolom ini dikosongkan." sqref="D7:E31" xr:uid="{00000000-0002-0000-0200-000003000000}">
      <formula1>0</formula1>
      <formula2>0</formula2>
    </dataValidation>
    <dataValidation type="whole" operator="greaterThanOrEqual" allowBlank="1" showInputMessage="1" showErrorMessage="1" errorTitle="Angka tidak valid" error="Isi bilangan bulat 0 atau lebih (jumlah tempat tidur, bukan jumlah kamar)." promptTitle="Tempat tidur" prompt="Jumlah tempat tidur terpasang pada kelas ini sesuai SK direktur (bukan jumlah kamar). Isi 0 bila kelas tidak ada." sqref="J2:J6" xr:uid="{00000000-0002-0000-0200-000004000000}">
      <formula1>0</formula1>
      <formula2>0</formula2>
    </dataValidation>
    <dataValidation type="whole" operator="greaterThanOrEqual" allowBlank="1" showInputMessage="1" showErrorMessage="1" errorTitle="Angka tidak valid" error="Isi bilangan bulat 0 atau lebih tanpa titik atau koma." promptTitle="Pasien pulang" prompt="Jumlah pasien keluar rawat inap setahun, hidup dan meninggal. Dihitung di kelas tempat pasien keluar. Isi 0 bila tidak ada. Bilangan bulat tanpa titik atau koma." sqref="N2:N6" xr:uid="{00000000-0002-0000-0200-000005000000}">
      <formula1>0</formula1>
      <formula2>0</formula2>
    </dataValidation>
    <dataValidation type="whole" operator="greaterThanOrEqual" allowBlank="1" showInputMessage="1" showErrorMessage="1" errorTitle="Angka tidak valid" error="Isi bilangan bulat 0 atau lebih tanpa titik atau koma." promptTitle="Volume penunjang" prompt="Volume setahun sesuai satuan pada kolom J (lembar resep, pemeriksaan, tes, dst). Isi 0 bila tidak ada. Bilangan bulat tanpa titik atau koma." sqref="K11:L15 K19:L19 K21:L22" xr:uid="{00000000-0002-0000-0200-000006000000}">
      <formula1>0</formula1>
      <formula2>0</formula2>
    </dataValidation>
    <dataValidation type="decimal" operator="greaterThanOrEqual" allowBlank="1" showInputMessage="1" showErrorMessage="1" errorTitle="Angka tidak valid" error="Isi angka 0 atau lebih (boleh desimal), tanpa huruf." promptTitle="Volume penunjang" prompt="Volume setahun sesuai satuan pada kolom J. Boleh desimal bila perlu. Isi 0 bila tidak ada." sqref="K16:L16 K18:L18 K20:L20" xr:uid="{00000000-0002-0000-0200-000007000000}">
      <formula1>0</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2"/>
  <sheetViews>
    <sheetView zoomScaleNormal="100" workbookViewId="0">
      <pane ySplit="1" topLeftCell="A2" activePane="bottomLeft" state="frozen"/>
      <selection pane="bottomLeft" activeCell="C16" sqref="C16"/>
    </sheetView>
  </sheetViews>
  <sheetFormatPr defaultColWidth="8.6640625" defaultRowHeight="14.4" x14ac:dyDescent="0.3"/>
  <cols>
    <col min="1" max="1" width="63.109375" style="47" bestFit="1" customWidth="1"/>
    <col min="2" max="2" width="22.44140625" style="47" customWidth="1"/>
    <col min="3" max="3" width="41.77734375" style="3" customWidth="1"/>
    <col min="4" max="4" width="40.109375" style="47" customWidth="1"/>
    <col min="5" max="5" width="46" style="47" customWidth="1"/>
    <col min="6" max="6" width="27" style="47" customWidth="1"/>
    <col min="7" max="16384" width="8.6640625" style="47"/>
  </cols>
  <sheetData>
    <row r="1" spans="1:6" x14ac:dyDescent="0.3">
      <c r="A1" s="26" t="s">
        <v>474</v>
      </c>
      <c r="B1" s="26" t="s">
        <v>475</v>
      </c>
      <c r="C1" s="4" t="s">
        <v>189</v>
      </c>
      <c r="D1" s="46" t="s">
        <v>190</v>
      </c>
      <c r="E1" s="46" t="s">
        <v>191</v>
      </c>
      <c r="F1" s="46" t="s">
        <v>192</v>
      </c>
    </row>
    <row r="2" spans="1:6" x14ac:dyDescent="0.3">
      <c r="A2" s="39" t="s">
        <v>476</v>
      </c>
      <c r="B2" s="39"/>
      <c r="C2" s="7"/>
      <c r="D2" s="54"/>
      <c r="E2" s="54"/>
      <c r="F2" s="54"/>
    </row>
    <row r="3" spans="1:6" x14ac:dyDescent="0.3">
      <c r="A3" s="28" t="s">
        <v>477</v>
      </c>
      <c r="B3" s="32"/>
      <c r="C3" s="12" t="s">
        <v>478</v>
      </c>
      <c r="D3" s="48" t="s">
        <v>479</v>
      </c>
      <c r="E3" s="48" t="s">
        <v>480</v>
      </c>
      <c r="F3" s="13" t="str">
        <f t="shared" ref="F3:F8" si="0">IF(B3="","KOSONG: isi 0 bila tidak ada",IF(AND(ISNUMBER(B3),B3&gt;=0),"OK","CEK: harus angka ≥ 0"))</f>
        <v>KOSONG: isi 0 bila tidak ada</v>
      </c>
    </row>
    <row r="4" spans="1:6" x14ac:dyDescent="0.3">
      <c r="A4" s="28" t="s">
        <v>481</v>
      </c>
      <c r="B4" s="32"/>
      <c r="C4" s="12" t="s">
        <v>482</v>
      </c>
      <c r="D4" s="48" t="s">
        <v>483</v>
      </c>
      <c r="E4" s="48" t="s">
        <v>480</v>
      </c>
      <c r="F4" s="13" t="str">
        <f t="shared" si="0"/>
        <v>KOSONG: isi 0 bila tidak ada</v>
      </c>
    </row>
    <row r="5" spans="1:6" x14ac:dyDescent="0.3">
      <c r="A5" s="28" t="s">
        <v>484</v>
      </c>
      <c r="B5" s="32"/>
      <c r="C5" s="12" t="s">
        <v>485</v>
      </c>
      <c r="D5" s="48" t="s">
        <v>486</v>
      </c>
      <c r="E5" s="48" t="s">
        <v>480</v>
      </c>
      <c r="F5" s="13" t="str">
        <f t="shared" si="0"/>
        <v>KOSONG: isi 0 bila tidak ada</v>
      </c>
    </row>
    <row r="6" spans="1:6" x14ac:dyDescent="0.3">
      <c r="A6" s="28" t="s">
        <v>487</v>
      </c>
      <c r="B6" s="32"/>
      <c r="C6" s="12" t="s">
        <v>478</v>
      </c>
      <c r="D6" s="48" t="s">
        <v>488</v>
      </c>
      <c r="E6" s="48" t="s">
        <v>480</v>
      </c>
      <c r="F6" s="13" t="str">
        <f t="shared" si="0"/>
        <v>KOSONG: isi 0 bila tidak ada</v>
      </c>
    </row>
    <row r="7" spans="1:6" x14ac:dyDescent="0.3">
      <c r="A7" s="28" t="s">
        <v>489</v>
      </c>
      <c r="B7" s="32"/>
      <c r="C7" s="12"/>
      <c r="D7" s="48" t="s">
        <v>490</v>
      </c>
      <c r="E7" s="48" t="s">
        <v>480</v>
      </c>
      <c r="F7" s="13" t="str">
        <f t="shared" si="0"/>
        <v>KOSONG: isi 0 bila tidak ada</v>
      </c>
    </row>
    <row r="8" spans="1:6" x14ac:dyDescent="0.3">
      <c r="A8" s="28" t="s">
        <v>491</v>
      </c>
      <c r="B8" s="32"/>
      <c r="C8" s="12" t="s">
        <v>492</v>
      </c>
      <c r="D8" s="48" t="s">
        <v>493</v>
      </c>
      <c r="E8" s="48" t="s">
        <v>480</v>
      </c>
      <c r="F8" s="13" t="str">
        <f t="shared" si="0"/>
        <v>KOSONG: isi 0 bila tidak ada</v>
      </c>
    </row>
    <row r="9" spans="1:6" x14ac:dyDescent="0.3">
      <c r="A9" s="35" t="s">
        <v>494</v>
      </c>
      <c r="B9" s="36">
        <f>IFERROR(SUM(B3:B8),"")</f>
        <v>0</v>
      </c>
      <c r="C9" s="16" t="s">
        <v>216</v>
      </c>
      <c r="D9" s="49" t="s">
        <v>495</v>
      </c>
      <c r="E9" s="49" t="s">
        <v>210</v>
      </c>
      <c r="F9" s="55"/>
    </row>
    <row r="10" spans="1:6" x14ac:dyDescent="0.3">
      <c r="A10" s="39" t="s">
        <v>496</v>
      </c>
      <c r="B10" s="39"/>
      <c r="C10" s="7"/>
      <c r="D10" s="54"/>
      <c r="E10" s="54"/>
      <c r="F10" s="54"/>
    </row>
    <row r="11" spans="1:6" x14ac:dyDescent="0.3">
      <c r="A11" s="28" t="s">
        <v>497</v>
      </c>
      <c r="B11" s="32"/>
      <c r="C11" s="12" t="s">
        <v>498</v>
      </c>
      <c r="D11" s="48" t="s">
        <v>499</v>
      </c>
      <c r="E11" s="48" t="s">
        <v>480</v>
      </c>
      <c r="F11" s="13" t="str">
        <f t="shared" ref="F11:F17" si="1">IF(B11="","KOSONG: isi 0 bila tidak ada",IF(AND(ISNUMBER(B11),B11&gt;=0),"OK","CEK: harus angka ≥ 0"))</f>
        <v>KOSONG: isi 0 bila tidak ada</v>
      </c>
    </row>
    <row r="12" spans="1:6" x14ac:dyDescent="0.3">
      <c r="A12" s="28" t="s">
        <v>500</v>
      </c>
      <c r="B12" s="32"/>
      <c r="C12" s="12" t="s">
        <v>501</v>
      </c>
      <c r="D12" s="48" t="s">
        <v>502</v>
      </c>
      <c r="E12" s="48" t="s">
        <v>480</v>
      </c>
      <c r="F12" s="13" t="str">
        <f t="shared" si="1"/>
        <v>KOSONG: isi 0 bila tidak ada</v>
      </c>
    </row>
    <row r="13" spans="1:6" x14ac:dyDescent="0.3">
      <c r="A13" s="28" t="s">
        <v>503</v>
      </c>
      <c r="B13" s="32"/>
      <c r="C13" s="12" t="s">
        <v>504</v>
      </c>
      <c r="D13" s="48" t="s">
        <v>505</v>
      </c>
      <c r="E13" s="48" t="s">
        <v>480</v>
      </c>
      <c r="F13" s="13" t="str">
        <f t="shared" si="1"/>
        <v>KOSONG: isi 0 bila tidak ada</v>
      </c>
    </row>
    <row r="14" spans="1:6" x14ac:dyDescent="0.3">
      <c r="A14" s="28" t="s">
        <v>506</v>
      </c>
      <c r="B14" s="32"/>
      <c r="C14" s="12"/>
      <c r="D14" s="48" t="s">
        <v>507</v>
      </c>
      <c r="E14" s="48" t="s">
        <v>480</v>
      </c>
      <c r="F14" s="13" t="str">
        <f t="shared" si="1"/>
        <v>KOSONG: isi 0 bila tidak ada</v>
      </c>
    </row>
    <row r="15" spans="1:6" x14ac:dyDescent="0.3">
      <c r="A15" s="28" t="s">
        <v>508</v>
      </c>
      <c r="B15" s="32"/>
      <c r="C15" s="12"/>
      <c r="D15" s="48" t="s">
        <v>509</v>
      </c>
      <c r="E15" s="48" t="s">
        <v>480</v>
      </c>
      <c r="F15" s="13" t="str">
        <f t="shared" si="1"/>
        <v>KOSONG: isi 0 bila tidak ada</v>
      </c>
    </row>
    <row r="16" spans="1:6" x14ac:dyDescent="0.3">
      <c r="A16" s="28" t="s">
        <v>510</v>
      </c>
      <c r="B16" s="32"/>
      <c r="C16" s="12"/>
      <c r="D16" s="48" t="s">
        <v>511</v>
      </c>
      <c r="E16" s="48" t="s">
        <v>480</v>
      </c>
      <c r="F16" s="13" t="str">
        <f t="shared" si="1"/>
        <v>KOSONG: isi 0 bila tidak ada</v>
      </c>
    </row>
    <row r="17" spans="1:6" x14ac:dyDescent="0.3">
      <c r="A17" s="28" t="s">
        <v>512</v>
      </c>
      <c r="B17" s="32"/>
      <c r="C17" s="12"/>
      <c r="D17" s="48" t="s">
        <v>513</v>
      </c>
      <c r="E17" s="48" t="s">
        <v>480</v>
      </c>
      <c r="F17" s="13" t="str">
        <f t="shared" si="1"/>
        <v>KOSONG: isi 0 bila tidak ada</v>
      </c>
    </row>
    <row r="18" spans="1:6" x14ac:dyDescent="0.3">
      <c r="A18" s="35" t="s">
        <v>514</v>
      </c>
      <c r="B18" s="36">
        <f>IFERROR(SUM(B11:B17),"")</f>
        <v>0</v>
      </c>
      <c r="C18" s="16" t="s">
        <v>216</v>
      </c>
      <c r="D18" s="49" t="s">
        <v>515</v>
      </c>
      <c r="E18" s="49" t="s">
        <v>210</v>
      </c>
      <c r="F18" s="55"/>
    </row>
    <row r="19" spans="1:6" x14ac:dyDescent="0.3">
      <c r="A19" s="35" t="s">
        <v>516</v>
      </c>
      <c r="B19" s="36">
        <f>IFERROR(B9-B18,"")</f>
        <v>0</v>
      </c>
      <c r="C19" s="16" t="s">
        <v>216</v>
      </c>
      <c r="D19" s="49" t="s">
        <v>517</v>
      </c>
      <c r="E19" s="49" t="s">
        <v>210</v>
      </c>
      <c r="F19" s="55"/>
    </row>
    <row r="20" spans="1:6" ht="26.4" x14ac:dyDescent="0.3">
      <c r="A20" s="28" t="s">
        <v>518</v>
      </c>
      <c r="B20" s="32"/>
      <c r="C20" s="12" t="s">
        <v>519</v>
      </c>
      <c r="D20" s="48" t="s">
        <v>520</v>
      </c>
      <c r="E20" s="48" t="s">
        <v>521</v>
      </c>
      <c r="F20" s="13" t="str">
        <f>IF(B20="","KOSONG: isi 0 bila tidak ada",IF(ISNUMBER(B20),"OK","CEK: harus angka"))</f>
        <v>KOSONG: isi 0 bila tidak ada</v>
      </c>
    </row>
    <row r="21" spans="1:6" ht="26.4" x14ac:dyDescent="0.3">
      <c r="A21" s="28" t="s">
        <v>522</v>
      </c>
      <c r="B21" s="32"/>
      <c r="C21" s="12" t="s">
        <v>523</v>
      </c>
      <c r="D21" s="48" t="s">
        <v>524</v>
      </c>
      <c r="E21" s="48" t="s">
        <v>521</v>
      </c>
      <c r="F21" s="13" t="str">
        <f>IF(B21="","KOSONG: isi 0 bila tidak ada",IF(ISNUMBER(B21),"OK","CEK: harus angka"))</f>
        <v>KOSONG: isi 0 bila tidak ada</v>
      </c>
    </row>
    <row r="22" spans="1:6" x14ac:dyDescent="0.3">
      <c r="A22" s="35" t="s">
        <v>525</v>
      </c>
      <c r="B22" s="36">
        <f>IFERROR(B20+B21,"")</f>
        <v>0</v>
      </c>
      <c r="C22" s="16" t="s">
        <v>216</v>
      </c>
      <c r="D22" s="49" t="s">
        <v>526</v>
      </c>
      <c r="E22" s="49" t="s">
        <v>210</v>
      </c>
      <c r="F22" s="55"/>
    </row>
    <row r="23" spans="1:6" x14ac:dyDescent="0.3">
      <c r="A23" s="35" t="s">
        <v>527</v>
      </c>
      <c r="B23" s="36">
        <f>IFERROR(B19+B22,"")</f>
        <v>0</v>
      </c>
      <c r="C23" s="16" t="s">
        <v>216</v>
      </c>
      <c r="D23" s="49" t="s">
        <v>528</v>
      </c>
      <c r="E23" s="49" t="s">
        <v>210</v>
      </c>
      <c r="F23" s="55"/>
    </row>
    <row r="24" spans="1:6" x14ac:dyDescent="0.3">
      <c r="A24" s="28" t="s">
        <v>529</v>
      </c>
      <c r="B24" s="32"/>
      <c r="C24" s="12" t="s">
        <v>530</v>
      </c>
      <c r="D24" s="48" t="s">
        <v>531</v>
      </c>
      <c r="E24" s="48" t="s">
        <v>532</v>
      </c>
      <c r="F24" s="13" t="str">
        <f>IF(B24="","KOSONG: isi angka laporan",IF(NOT(ISNUMBER(B24)),"CEK: harus angka",IF(ABS(N(B25))&lt;=1000,"OK","CEK: beda dengan hitungan B23, periksa baris 3-21")))</f>
        <v>KOSONG: isi angka laporan</v>
      </c>
    </row>
    <row r="25" spans="1:6" x14ac:dyDescent="0.3">
      <c r="A25" s="28" t="s">
        <v>533</v>
      </c>
      <c r="B25" s="33">
        <f>IFERROR(B23-B24,"")</f>
        <v>0</v>
      </c>
      <c r="C25" s="12" t="s">
        <v>216</v>
      </c>
      <c r="D25" s="48" t="s">
        <v>534</v>
      </c>
      <c r="E25" s="48" t="s">
        <v>210</v>
      </c>
      <c r="F25" s="13" t="str">
        <f>IF(B25="","Menunggu: data",IF(ABS(B25)&lt;=1000,"OK","CEK: selisih tidak 0"))</f>
        <v>OK</v>
      </c>
    </row>
    <row r="26" spans="1:6" x14ac:dyDescent="0.3">
      <c r="A26" s="39" t="s">
        <v>535</v>
      </c>
      <c r="B26" s="39"/>
      <c r="C26" s="7"/>
      <c r="D26" s="54"/>
      <c r="E26" s="54"/>
      <c r="F26" s="54"/>
    </row>
    <row r="27" spans="1:6" x14ac:dyDescent="0.3">
      <c r="A27" s="28" t="s">
        <v>227</v>
      </c>
      <c r="B27" s="32"/>
      <c r="C27" s="12" t="s">
        <v>536</v>
      </c>
      <c r="D27" s="48" t="s">
        <v>537</v>
      </c>
      <c r="E27" s="48" t="s">
        <v>538</v>
      </c>
      <c r="F27" s="13" t="str">
        <f>IF(B27="","KOSONG: isi 0 bila tidak ada",IF(NOT(AND(ISNUMBER(B27),B27&gt;=0)),"CEK: harus angka ≥ 0",IF(N('Costing Template'!S69)=0,"OK",IF(ABS(N(B43))&gt;1000,"CEK: beda dengan total kolom Costing Template (lihat B43)","OK"))))</f>
        <v>KOSONG: isi 0 bila tidak ada</v>
      </c>
    </row>
    <row r="28" spans="1:6" x14ac:dyDescent="0.3">
      <c r="A28" s="28" t="s">
        <v>539</v>
      </c>
      <c r="B28" s="32"/>
      <c r="C28" s="12" t="s">
        <v>540</v>
      </c>
      <c r="D28" s="48" t="s">
        <v>541</v>
      </c>
      <c r="E28" s="48" t="s">
        <v>542</v>
      </c>
      <c r="F28" s="13" t="str">
        <f>IF(B28="","KOSONG: isi 0 bila tidak ada",IF(NOT(AND(ISNUMBER(B28),B28&gt;=0)),"CEK: harus angka ≥ 0",IF(N('Costing Template'!S69)=0,"OK",IF(ABS(N(B44))&gt;1000,"CEK: beda dengan total kolom Costing Template (lihat B44)","OK"))))</f>
        <v>KOSONG: isi 0 bila tidak ada</v>
      </c>
    </row>
    <row r="29" spans="1:6" x14ac:dyDescent="0.3">
      <c r="A29" s="28" t="s">
        <v>543</v>
      </c>
      <c r="B29" s="32"/>
      <c r="C29" s="12" t="s">
        <v>544</v>
      </c>
      <c r="D29" s="48" t="s">
        <v>545</v>
      </c>
      <c r="E29" s="48" t="s">
        <v>546</v>
      </c>
      <c r="F29" s="13" t="str">
        <f>IF(B29="","KOSONG: isi 0 bila tidak ada",IF(NOT(AND(ISNUMBER(B29),B29&gt;=0)),"CEK: harus angka ≥ 0",IF(N('Costing Template'!S69)=0,"OK",IF(ABS(N(B45))&gt;1000,"CEK: beda dengan total kolom Costing Template (lihat B45)","OK"))))</f>
        <v>KOSONG: isi 0 bila tidak ada</v>
      </c>
    </row>
    <row r="30" spans="1:6" ht="26.4" x14ac:dyDescent="0.3">
      <c r="A30" s="28" t="s">
        <v>233</v>
      </c>
      <c r="B30" s="32"/>
      <c r="C30" s="12" t="s">
        <v>547</v>
      </c>
      <c r="D30" s="48" t="s">
        <v>548</v>
      </c>
      <c r="E30" s="48" t="s">
        <v>549</v>
      </c>
      <c r="F30" s="13" t="str">
        <f>IF(B30="","KOSONG: isi 0 bila tidak ada",IF(NOT(AND(ISNUMBER(B30),B30&gt;=0)),"CEK: harus angka ≥ 0",IF(N('Costing Template'!S69)=0,"OK",IF(ABS(N(B46))&gt;1000,"CEK: beda dengan total kolom Costing Template (lihat B46)","OK"))))</f>
        <v>KOSONG: isi 0 bila tidak ada</v>
      </c>
    </row>
    <row r="31" spans="1:6" x14ac:dyDescent="0.3">
      <c r="A31" s="28" t="s">
        <v>550</v>
      </c>
      <c r="B31" s="32"/>
      <c r="C31" s="12" t="s">
        <v>551</v>
      </c>
      <c r="D31" s="48" t="s">
        <v>552</v>
      </c>
      <c r="E31" s="48" t="s">
        <v>553</v>
      </c>
      <c r="F31" s="13" t="str">
        <f>IF(B31="","KOSONG: isi 0 bila tidak ada",IF(NOT(AND(ISNUMBER(B31),B31&gt;=0)),"CEK: harus angka ≥ 0",IF(N('Costing Template'!S69)=0,"OK",IF(ABS(N(B47))&gt;1000,"CEK: beda dengan total kolom Costing Template (lihat B47)","OK"))))</f>
        <v>KOSONG: isi 0 bila tidak ada</v>
      </c>
    </row>
    <row r="32" spans="1:6" x14ac:dyDescent="0.3">
      <c r="A32" s="28" t="s">
        <v>554</v>
      </c>
      <c r="B32" s="32"/>
      <c r="C32" s="12" t="s">
        <v>555</v>
      </c>
      <c r="D32" s="48" t="s">
        <v>556</v>
      </c>
      <c r="E32" s="48" t="s">
        <v>557</v>
      </c>
      <c r="F32" s="13" t="str">
        <f>IF(B32="","KOSONG: isi 0 bila tidak ada",IF(NOT(AND(ISNUMBER(B32),B32&gt;=0)),"CEK: harus angka ≥ 0",IF(N('Costing Template'!S69)=0,"OK",IF(ABS(N(B48))&gt;1000,"CEK: beda dengan total kolom Costing Template (lihat B48)","OK"))))</f>
        <v>KOSONG: isi 0 bila tidak ada</v>
      </c>
    </row>
    <row r="33" spans="1:6" x14ac:dyDescent="0.3">
      <c r="A33" s="35" t="s">
        <v>558</v>
      </c>
      <c r="B33" s="36">
        <f>IFERROR(SUM(B27:B32),"")</f>
        <v>0</v>
      </c>
      <c r="C33" s="16" t="s">
        <v>216</v>
      </c>
      <c r="D33" s="49" t="s">
        <v>559</v>
      </c>
      <c r="E33" s="49" t="s">
        <v>210</v>
      </c>
      <c r="F33" s="55"/>
    </row>
    <row r="34" spans="1:6" x14ac:dyDescent="0.3">
      <c r="A34" s="28" t="s">
        <v>560</v>
      </c>
      <c r="B34" s="33">
        <f>IFERROR(B33-B18,"")</f>
        <v>0</v>
      </c>
      <c r="C34" s="12" t="s">
        <v>216</v>
      </c>
      <c r="D34" s="48" t="s">
        <v>561</v>
      </c>
      <c r="E34" s="48" t="s">
        <v>210</v>
      </c>
      <c r="F34" s="13" t="str">
        <f>IF(B34="","Menunggu: data",IF(ABS(B34)&lt;=1000,"OK","CEK: selisih tidak 0"))</f>
        <v>OK</v>
      </c>
    </row>
    <row r="35" spans="1:6" x14ac:dyDescent="0.3">
      <c r="A35" s="39" t="s">
        <v>562</v>
      </c>
      <c r="B35" s="39"/>
      <c r="C35" s="7"/>
      <c r="D35" s="54"/>
      <c r="E35" s="54"/>
      <c r="F35" s="54"/>
    </row>
    <row r="36" spans="1:6" x14ac:dyDescent="0.3">
      <c r="A36" s="28" t="s">
        <v>239</v>
      </c>
      <c r="B36" s="32"/>
      <c r="C36" s="12" t="s">
        <v>563</v>
      </c>
      <c r="D36" s="48" t="s">
        <v>564</v>
      </c>
      <c r="E36" s="48" t="s">
        <v>565</v>
      </c>
      <c r="F36" s="13" t="str">
        <f>IF(B36="","KOSONG: isi 0 bila tidak ada",IF(NOT(AND(ISNUMBER(B36),B36&gt;=0)),"CEK: harus angka ≥ 0",IF(B36&gt;N(B4)+N(B5),"CEK: melebihi pendapatan jasa layanan (B4+B5)","OK")))</f>
        <v>KOSONG: isi 0 bila tidak ada</v>
      </c>
    </row>
    <row r="37" spans="1:6" x14ac:dyDescent="0.3">
      <c r="A37" s="28" t="s">
        <v>566</v>
      </c>
      <c r="B37" s="33">
        <f>IFERROR(B4+B5-B36,"")</f>
        <v>0</v>
      </c>
      <c r="C37" s="12" t="s">
        <v>567</v>
      </c>
      <c r="D37" s="48" t="s">
        <v>568</v>
      </c>
      <c r="E37" s="48" t="s">
        <v>210</v>
      </c>
      <c r="F37" s="13" t="str">
        <f>IF(B37="","Menunggu: data",IF(B37&lt;0,"CEK: negatif, periksa B36","OK"))</f>
        <v>OK</v>
      </c>
    </row>
    <row r="38" spans="1:6" x14ac:dyDescent="0.3">
      <c r="A38" s="28" t="s">
        <v>569</v>
      </c>
      <c r="B38" s="33">
        <f>IFERROR(B7+B8,"")</f>
        <v>0</v>
      </c>
      <c r="C38" s="12" t="s">
        <v>216</v>
      </c>
      <c r="D38" s="48" t="s">
        <v>570</v>
      </c>
      <c r="E38" s="48" t="s">
        <v>210</v>
      </c>
    </row>
    <row r="39" spans="1:6" x14ac:dyDescent="0.3">
      <c r="A39" s="28" t="s">
        <v>571</v>
      </c>
      <c r="B39" s="33">
        <f>IFERROR(B3+B6,"")</f>
        <v>0</v>
      </c>
      <c r="C39" s="12" t="s">
        <v>216</v>
      </c>
      <c r="D39" s="48" t="s">
        <v>572</v>
      </c>
      <c r="E39" s="48" t="s">
        <v>210</v>
      </c>
    </row>
    <row r="40" spans="1:6" x14ac:dyDescent="0.3">
      <c r="A40" s="35" t="s">
        <v>573</v>
      </c>
      <c r="B40" s="36">
        <f>IFERROR(SUM(B36:B39),"")</f>
        <v>0</v>
      </c>
      <c r="C40" s="16" t="s">
        <v>216</v>
      </c>
      <c r="D40" s="49" t="s">
        <v>574</v>
      </c>
      <c r="E40" s="49" t="s">
        <v>210</v>
      </c>
      <c r="F40" s="55"/>
    </row>
    <row r="41" spans="1:6" x14ac:dyDescent="0.3">
      <c r="A41" s="28" t="s">
        <v>575</v>
      </c>
      <c r="B41" s="33">
        <f>IFERROR(B40-B9,"")</f>
        <v>0</v>
      </c>
      <c r="C41" s="12" t="s">
        <v>216</v>
      </c>
      <c r="D41" s="48" t="s">
        <v>576</v>
      </c>
      <c r="E41" s="48" t="s">
        <v>210</v>
      </c>
      <c r="F41" s="13" t="str">
        <f>IF(B41="","Menunggu: data",IF(ABS(B41)&lt;=1000,"OK","CEK: selisih tidak 0"))</f>
        <v>OK</v>
      </c>
    </row>
    <row r="42" spans="1:6" x14ac:dyDescent="0.3">
      <c r="A42" s="39" t="s">
        <v>577</v>
      </c>
      <c r="B42" s="39"/>
      <c r="C42" s="7"/>
      <c r="D42" s="54"/>
      <c r="E42" s="54"/>
      <c r="F42" s="54"/>
    </row>
    <row r="43" spans="1:6" x14ac:dyDescent="0.3">
      <c r="A43" s="28" t="s">
        <v>578</v>
      </c>
      <c r="B43" s="33">
        <f>IFERROR('Costing Template'!J69-B27,"")</f>
        <v>0</v>
      </c>
      <c r="C43" s="12" t="s">
        <v>579</v>
      </c>
      <c r="D43" s="48" t="s">
        <v>580</v>
      </c>
      <c r="E43" s="48" t="s">
        <v>210</v>
      </c>
      <c r="F43" s="13" t="str">
        <f t="shared" ref="F43:F49" si="2">IF(B43="","Menunggu: data",IF(ABS(B43)&lt;=1000,"OK","CEK: selisih tidak 0"))</f>
        <v>OK</v>
      </c>
    </row>
    <row r="44" spans="1:6" x14ac:dyDescent="0.3">
      <c r="A44" s="28" t="s">
        <v>581</v>
      </c>
      <c r="B44" s="33">
        <f>IFERROR('Costing Template'!K69-B28,"")</f>
        <v>0</v>
      </c>
      <c r="C44" s="12"/>
      <c r="D44" s="48" t="s">
        <v>580</v>
      </c>
      <c r="E44" s="48" t="s">
        <v>210</v>
      </c>
      <c r="F44" s="13" t="str">
        <f t="shared" si="2"/>
        <v>OK</v>
      </c>
    </row>
    <row r="45" spans="1:6" x14ac:dyDescent="0.3">
      <c r="A45" s="28" t="s">
        <v>582</v>
      </c>
      <c r="B45" s="33">
        <f>IFERROR('Costing Template'!L69-B29,"")</f>
        <v>0</v>
      </c>
      <c r="C45" s="12"/>
      <c r="D45" s="48" t="s">
        <v>580</v>
      </c>
      <c r="E45" s="48" t="s">
        <v>210</v>
      </c>
      <c r="F45" s="13" t="str">
        <f t="shared" si="2"/>
        <v>OK</v>
      </c>
    </row>
    <row r="46" spans="1:6" x14ac:dyDescent="0.3">
      <c r="A46" s="28" t="s">
        <v>583</v>
      </c>
      <c r="B46" s="33">
        <f>IFERROR('Costing Template'!M69-B30,"")</f>
        <v>0</v>
      </c>
      <c r="C46" s="12"/>
      <c r="D46" s="48" t="s">
        <v>580</v>
      </c>
      <c r="E46" s="48" t="s">
        <v>210</v>
      </c>
      <c r="F46" s="13" t="str">
        <f t="shared" si="2"/>
        <v>OK</v>
      </c>
    </row>
    <row r="47" spans="1:6" x14ac:dyDescent="0.3">
      <c r="A47" s="28" t="s">
        <v>584</v>
      </c>
      <c r="B47" s="33">
        <f>IFERROR('Costing Template'!P69-B31,"")</f>
        <v>0</v>
      </c>
      <c r="C47" s="12"/>
      <c r="D47" s="48" t="s">
        <v>580</v>
      </c>
      <c r="E47" s="48" t="s">
        <v>210</v>
      </c>
      <c r="F47" s="13" t="str">
        <f t="shared" si="2"/>
        <v>OK</v>
      </c>
    </row>
    <row r="48" spans="1:6" x14ac:dyDescent="0.3">
      <c r="A48" s="28" t="s">
        <v>585</v>
      </c>
      <c r="B48" s="33">
        <f>IFERROR('Costing Template'!Q69-B32,"")</f>
        <v>0</v>
      </c>
      <c r="C48" s="12"/>
      <c r="D48" s="48" t="s">
        <v>580</v>
      </c>
      <c r="E48" s="48" t="s">
        <v>210</v>
      </c>
      <c r="F48" s="13" t="str">
        <f t="shared" si="2"/>
        <v>OK</v>
      </c>
    </row>
    <row r="49" spans="1:6" x14ac:dyDescent="0.3">
      <c r="A49" s="28" t="s">
        <v>586</v>
      </c>
      <c r="B49" s="33">
        <f>IFERROR('Costing Template'!S69-B18,"")</f>
        <v>0</v>
      </c>
      <c r="C49" s="12"/>
      <c r="D49" s="48" t="s">
        <v>580</v>
      </c>
      <c r="E49" s="48" t="s">
        <v>210</v>
      </c>
      <c r="F49" s="13" t="str">
        <f t="shared" si="2"/>
        <v>OK</v>
      </c>
    </row>
    <row r="50" spans="1:6" x14ac:dyDescent="0.3">
      <c r="A50" s="28" t="s">
        <v>587</v>
      </c>
      <c r="B50" s="41" t="str">
        <f>IFERROR(IF(B18=0,"Belum diisi",IF(SUMPRODUCT(ABS(B43:B49))&lt;=1000,"BALANCE","CEK")),"")</f>
        <v>Belum diisi</v>
      </c>
      <c r="C50" s="12" t="s">
        <v>588</v>
      </c>
      <c r="D50" s="48" t="s">
        <v>589</v>
      </c>
      <c r="E50" s="48" t="s">
        <v>210</v>
      </c>
      <c r="F50" s="13" t="str">
        <f>IF(B50="Belum diisi","Menunggu: data",IF(B50="BALANCE","OK","CEK: ada selisih, lihat baris 43-49"))</f>
        <v>Menunggu: data</v>
      </c>
    </row>
    <row r="51" spans="1:6" ht="26.4" x14ac:dyDescent="0.3">
      <c r="A51" s="28" t="s">
        <v>590</v>
      </c>
      <c r="B51" s="33">
        <f>IFERROR(B11-B27-B28-B29,"")</f>
        <v>0</v>
      </c>
      <c r="C51" s="12" t="s">
        <v>591</v>
      </c>
      <c r="D51" s="48" t="s">
        <v>592</v>
      </c>
      <c r="E51" s="48" t="s">
        <v>210</v>
      </c>
    </row>
    <row r="52" spans="1:6" ht="26.4" x14ac:dyDescent="0.3">
      <c r="A52" s="28" t="s">
        <v>593</v>
      </c>
      <c r="B52" s="33">
        <f>IFERROR(B16-B31-B32,"")</f>
        <v>0</v>
      </c>
      <c r="C52" s="12" t="s">
        <v>591</v>
      </c>
      <c r="D52" s="48" t="s">
        <v>594</v>
      </c>
      <c r="E52" s="48" t="s">
        <v>210</v>
      </c>
    </row>
  </sheetData>
  <sheetProtection sheet="1" formatCells="0" formatColumns="0" formatRows="0"/>
  <conditionalFormatting sqref="F3:F52">
    <cfRule type="expression" dxfId="14" priority="2">
      <formula>LEFT(F3,2)="OK"</formula>
    </cfRule>
    <cfRule type="expression" dxfId="13" priority="3">
      <formula>LEFT(F3,3)="CEK"</formula>
    </cfRule>
    <cfRule type="expression" dxfId="12" priority="4">
      <formula>OR(LEFT(F3,6)="KOSONG",LEFT(F3,5)="BELUM",LEFT(F3,6)="Menung")</formula>
    </cfRule>
  </conditionalFormatting>
  <dataValidations count="4">
    <dataValidation type="decimal" operator="greaterThanOrEqual" allowBlank="1" showInputMessage="1" showErrorMessage="1" errorTitle="Angka tidak valid" error="Isi angka 0 atau lebih, Rupiah penuh, tanpa titik, koma, huruf, atau Rp." promptTitle="Angka LO (Rp)" prompt="Salin angka LO apa adanya. Rupiah penuh, tanpa titik, koma, atau Rp. Isi 0 bila tidak ada." sqref="B3:B8 B11:B17" xr:uid="{00000000-0002-0000-0300-000000000000}">
      <formula1>0</formula1>
      <formula2>0</formula2>
    </dataValidation>
    <dataValidation type="decimal" operator="greaterThanOrEqual" allowBlank="1" showInputMessage="1" showErrorMessage="1" errorTitle="Angka tidak valid" error="Isi angka 0 atau lebih, Rupiah penuh, tanpa titik, koma, huruf, atau Rp." promptTitle="Rincian beban (Rp)" prompt="Rupiah penuh tanpa titik atau koma. Total B27 sampai B32 harus sama dengan total beban LO (B18)." sqref="B27:B32" xr:uid="{00000000-0002-0000-0300-000001000000}">
      <formula1>0</formula1>
      <formula2>0</formula2>
    </dataValidation>
    <dataValidation type="decimal" allowBlank="1" showInputMessage="1" showErrorMessage="1" errorTitle="Angka tidak valid" error="Isi angka (boleh negatif) tanpa titik, koma, huruf, atau Rp." promptTitle="Surplus / defisit (Rp)" prompt="Rupiah penuh tanpa titik atau koma. Tulis negatif (tanda minus) bila defisit." sqref="B20:B21 B24" xr:uid="{00000000-0002-0000-0300-000002000000}">
      <formula1>-100000000000000</formula1>
      <formula2>100000000000000</formula2>
    </dataValidation>
    <dataValidation type="custom" allowBlank="1" showInputMessage="1" showErrorMessage="1" errorTitle="Pendapatan JKN tidak valid" error="Isi angka 0 atau lebih dan tidak lebih besar dari B4 + B5 (pendapatan jasa layanan). Isi B4 dan B5 lebih dulu." promptTitle="Pendapatan JKN (Rp)" prompt="Pendapatan klaim JKN setahun. Rupiah penuh. Tidak boleh melebihi B4 + B5; isi B4 dan B5 lebih dulu." sqref="B36" xr:uid="{00000000-0002-0000-0300-000003000000}">
      <formula1>AND(ISNUMBER(B36),B36&gt;=0,B36&lt;=N(B4)+N(B5))</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96"/>
  <sheetViews>
    <sheetView zoomScaleNormal="100" workbookViewId="0">
      <pane xSplit="2" ySplit="5" topLeftCell="C16" activePane="bottomRight" state="frozen"/>
      <selection pane="topRight" activeCell="E1" sqref="E1"/>
      <selection pane="bottomLeft" activeCell="A6" sqref="A6"/>
      <selection pane="bottomRight" activeCell="D42" sqref="D42"/>
    </sheetView>
  </sheetViews>
  <sheetFormatPr defaultColWidth="62" defaultRowHeight="14.4" x14ac:dyDescent="0.3"/>
  <cols>
    <col min="1" max="1" width="5.77734375" style="47" customWidth="1"/>
    <col min="2" max="2" width="44" style="47" customWidth="1"/>
    <col min="3" max="3" width="18.77734375" style="47" customWidth="1"/>
    <col min="4" max="4" width="12" style="47" customWidth="1"/>
    <col min="5" max="6" width="13" style="47" customWidth="1"/>
    <col min="7" max="7" width="14" style="47" customWidth="1"/>
    <col min="8" max="8" width="9" style="47" customWidth="1"/>
    <col min="9" max="9" width="13" style="47" customWidth="1"/>
    <col min="10" max="17" width="18" style="47" customWidth="1"/>
    <col min="18" max="18" width="13" style="47" customWidth="1"/>
    <col min="19" max="19" width="20" style="47" customWidth="1"/>
    <col min="20" max="16384" width="62" style="47"/>
  </cols>
  <sheetData>
    <row r="1" spans="1:20" x14ac:dyDescent="0.3">
      <c r="A1" s="25" t="s">
        <v>595</v>
      </c>
      <c r="B1" s="26"/>
      <c r="C1" s="26"/>
      <c r="D1" s="26"/>
      <c r="E1" s="26"/>
      <c r="F1" s="26"/>
      <c r="G1" s="26"/>
      <c r="H1" s="26"/>
      <c r="I1" s="26"/>
      <c r="J1" s="26"/>
      <c r="K1" s="26"/>
      <c r="L1" s="26"/>
      <c r="M1" s="26"/>
      <c r="N1" s="26"/>
      <c r="O1" s="26"/>
      <c r="P1" s="26"/>
      <c r="Q1" s="26"/>
      <c r="R1" s="26"/>
      <c r="S1" s="26"/>
    </row>
    <row r="2" spans="1:20" x14ac:dyDescent="0.3">
      <c r="A2" s="56" t="s">
        <v>596</v>
      </c>
      <c r="B2" s="27"/>
      <c r="J2" s="28" t="s">
        <v>597</v>
      </c>
      <c r="K2" s="29"/>
      <c r="M2" s="28" t="s">
        <v>598</v>
      </c>
      <c r="N2" s="29"/>
      <c r="T2" s="13" t="str">
        <f>IF(OR(B2="",K2="",N2=""),"KOSONG: lengkapi tahun, tipe, dan kepemilikan",IF(AND(B2='Data Dasar RS'!B5,K2='Data Dasar RS'!B3,N2='Data Dasar RS'!B4),"OK: sama dengan Data Dasar RS","CEK: beda dengan Data Dasar RS (B3, B4, B5)"))</f>
        <v>KOSONG: lengkapi tahun, tipe, dan kepemilikan</v>
      </c>
    </row>
    <row r="3" spans="1:20" x14ac:dyDescent="0.3">
      <c r="T3" s="30" t="str">
        <f>COUNTIF(T6:T17,"OK*")+COUNTIF(T22:T33,"OK*")+COUNTIF(T38:T67,"OK*")&amp;" dari 54 baris sudah OK"</f>
        <v>0 dari 54 baris sudah OK</v>
      </c>
    </row>
    <row r="4" spans="1:20" x14ac:dyDescent="0.3">
      <c r="A4" s="25" t="s">
        <v>599</v>
      </c>
      <c r="B4" s="26"/>
      <c r="C4" s="26"/>
      <c r="D4" s="26"/>
      <c r="E4" s="26"/>
      <c r="F4" s="26"/>
      <c r="G4" s="26"/>
      <c r="H4" s="26"/>
      <c r="I4" s="26"/>
      <c r="J4" s="26"/>
      <c r="K4" s="26"/>
      <c r="L4" s="26"/>
      <c r="M4" s="26"/>
      <c r="N4" s="26"/>
      <c r="O4" s="26"/>
      <c r="P4" s="26"/>
      <c r="Q4" s="26"/>
      <c r="R4" s="26"/>
      <c r="S4" s="26"/>
    </row>
    <row r="5" spans="1:20" s="3" customFormat="1" ht="41.4" x14ac:dyDescent="0.3">
      <c r="A5" s="31" t="s">
        <v>600</v>
      </c>
      <c r="B5" s="31" t="s">
        <v>601</v>
      </c>
      <c r="C5" s="31" t="s">
        <v>602</v>
      </c>
      <c r="D5" s="31" t="s">
        <v>603</v>
      </c>
      <c r="E5" s="31" t="s">
        <v>604</v>
      </c>
      <c r="F5" s="31" t="s">
        <v>352</v>
      </c>
      <c r="G5" s="31" t="s">
        <v>605</v>
      </c>
      <c r="H5" s="31" t="s">
        <v>160</v>
      </c>
      <c r="I5" s="31" t="s">
        <v>606</v>
      </c>
      <c r="J5" s="31" t="s">
        <v>227</v>
      </c>
      <c r="K5" s="31" t="s">
        <v>607</v>
      </c>
      <c r="L5" s="31" t="s">
        <v>608</v>
      </c>
      <c r="M5" s="31" t="s">
        <v>609</v>
      </c>
      <c r="N5" s="31" t="s">
        <v>610</v>
      </c>
      <c r="O5" s="31" t="s">
        <v>611</v>
      </c>
      <c r="P5" s="31" t="s">
        <v>612</v>
      </c>
      <c r="Q5" s="31" t="s">
        <v>613</v>
      </c>
      <c r="R5" s="31" t="s">
        <v>614</v>
      </c>
      <c r="S5" s="31" t="s">
        <v>615</v>
      </c>
      <c r="T5" s="11" t="s">
        <v>616</v>
      </c>
    </row>
    <row r="6" spans="1:20" x14ac:dyDescent="0.3">
      <c r="A6" s="28">
        <v>1</v>
      </c>
      <c r="B6" s="28" t="s">
        <v>617</v>
      </c>
      <c r="C6" s="29" t="s">
        <v>61</v>
      </c>
      <c r="D6" s="32"/>
      <c r="J6" s="32"/>
      <c r="K6" s="32"/>
      <c r="L6" s="32"/>
      <c r="M6" s="32"/>
      <c r="N6" s="32"/>
      <c r="O6" s="32"/>
      <c r="P6" s="33" t="str">
        <f t="shared" ref="P6:P17" si="0">IFERROR(IF(COUNT(N6)=0,"",N6/5),"")</f>
        <v/>
      </c>
      <c r="Q6" s="33" t="str">
        <f t="shared" ref="Q6:Q17" si="1">IFERROR(IF(COUNT(O6)=0,"",O6/40),"")</f>
        <v/>
      </c>
      <c r="R6" s="34"/>
      <c r="S6" s="33" t="str">
        <f t="shared" ref="S6:S17" si="2">IFERROR(IF(COUNT(J6:O6)&lt;6,"",SUM(J6:M6,P6:Q6)),"")</f>
        <v/>
      </c>
      <c r="T6" s="13" t="str">
        <f t="shared" ref="T6:T17" si="3">IF(COUNT(D6,J6:O6,R6)=0,"KOSONG: isi staf, biaya, nilai alat, dan luas lantai",IF(COUNTA(D6,J6:O6,R6)&gt;COUNT(D6,J6:O6,R6),"CEK: ada isian bukan angka",IF(C6="","CEK: pilih dasar alokasi",IF(COUNT(D6,J6:O6,R6)&lt;8,"BELUM LENGKAP: "&amp;(8-COUNT(D6,J6:O6,R6))&amp;" sel kosong (isi 0 bila tidak ada)",IF(MIN(D6,J6:O6,R6)&lt;0,"CEK: ada angka negatif",IF(D6&lt;&gt;INT(D6),"CEK: jumlah staf harus bilangan bulat",IF(AND(C6="jumlah_staf",D6=0),"CEK: dasar alokasi jumlah_staf tetapi staf = 0",IF(AND(C6="luas_lantai",R6=0),"CEK: dasar alokasi luas_lantai tetapi luas = 0",IF(AND(J6&gt;0,D6=0),"CEK: ada biaya gaji tetapi staf = 0",IF(AND(O6&gt;0,R6=0),"CEK: ada investasi gedung tetapi luas = 0","OK"))))))))))</f>
        <v>KOSONG: isi staf, biaya, nilai alat, dan luas lantai</v>
      </c>
    </row>
    <row r="7" spans="1:20" x14ac:dyDescent="0.3">
      <c r="A7" s="28">
        <v>2</v>
      </c>
      <c r="B7" s="28" t="s">
        <v>618</v>
      </c>
      <c r="C7" s="29" t="s">
        <v>61</v>
      </c>
      <c r="D7" s="32"/>
      <c r="J7" s="32"/>
      <c r="K7" s="32"/>
      <c r="L7" s="32"/>
      <c r="M7" s="32"/>
      <c r="N7" s="32"/>
      <c r="O7" s="32"/>
      <c r="P7" s="33" t="str">
        <f t="shared" si="0"/>
        <v/>
      </c>
      <c r="Q7" s="33" t="str">
        <f t="shared" si="1"/>
        <v/>
      </c>
      <c r="R7" s="34"/>
      <c r="S7" s="33" t="str">
        <f t="shared" si="2"/>
        <v/>
      </c>
      <c r="T7" s="13" t="str">
        <f t="shared" si="3"/>
        <v>KOSONG: isi staf, biaya, nilai alat, dan luas lantai</v>
      </c>
    </row>
    <row r="8" spans="1:20" x14ac:dyDescent="0.3">
      <c r="A8" s="28">
        <v>3</v>
      </c>
      <c r="B8" s="28" t="s">
        <v>619</v>
      </c>
      <c r="C8" s="29" t="s">
        <v>61</v>
      </c>
      <c r="D8" s="32"/>
      <c r="J8" s="32"/>
      <c r="K8" s="32"/>
      <c r="L8" s="32"/>
      <c r="M8" s="32"/>
      <c r="N8" s="32"/>
      <c r="O8" s="32"/>
      <c r="P8" s="33" t="str">
        <f t="shared" si="0"/>
        <v/>
      </c>
      <c r="Q8" s="33" t="str">
        <f t="shared" si="1"/>
        <v/>
      </c>
      <c r="R8" s="34"/>
      <c r="S8" s="33" t="str">
        <f t="shared" si="2"/>
        <v/>
      </c>
      <c r="T8" s="13" t="str">
        <f t="shared" si="3"/>
        <v>KOSONG: isi staf, biaya, nilai alat, dan luas lantai</v>
      </c>
    </row>
    <row r="9" spans="1:20" x14ac:dyDescent="0.3">
      <c r="A9" s="28">
        <v>4</v>
      </c>
      <c r="B9" s="28" t="s">
        <v>620</v>
      </c>
      <c r="C9" s="29" t="s">
        <v>61</v>
      </c>
      <c r="D9" s="32"/>
      <c r="J9" s="32"/>
      <c r="K9" s="32"/>
      <c r="L9" s="32"/>
      <c r="M9" s="32"/>
      <c r="N9" s="32"/>
      <c r="O9" s="32"/>
      <c r="P9" s="33" t="str">
        <f t="shared" si="0"/>
        <v/>
      </c>
      <c r="Q9" s="33" t="str">
        <f t="shared" si="1"/>
        <v/>
      </c>
      <c r="R9" s="34"/>
      <c r="S9" s="33" t="str">
        <f t="shared" si="2"/>
        <v/>
      </c>
      <c r="T9" s="13" t="str">
        <f t="shared" si="3"/>
        <v>KOSONG: isi staf, biaya, nilai alat, dan luas lantai</v>
      </c>
    </row>
    <row r="10" spans="1:20" x14ac:dyDescent="0.3">
      <c r="A10" s="28">
        <v>5</v>
      </c>
      <c r="B10" s="28" t="s">
        <v>621</v>
      </c>
      <c r="C10" s="29" t="s">
        <v>63</v>
      </c>
      <c r="D10" s="32"/>
      <c r="J10" s="32"/>
      <c r="K10" s="32"/>
      <c r="L10" s="32"/>
      <c r="M10" s="32"/>
      <c r="N10" s="32"/>
      <c r="O10" s="32"/>
      <c r="P10" s="33" t="str">
        <f t="shared" si="0"/>
        <v/>
      </c>
      <c r="Q10" s="33" t="str">
        <f t="shared" si="1"/>
        <v/>
      </c>
      <c r="R10" s="34"/>
      <c r="S10" s="33" t="str">
        <f t="shared" si="2"/>
        <v/>
      </c>
      <c r="T10" s="13" t="str">
        <f t="shared" si="3"/>
        <v>KOSONG: isi staf, biaya, nilai alat, dan luas lantai</v>
      </c>
    </row>
    <row r="11" spans="1:20" x14ac:dyDescent="0.3">
      <c r="A11" s="28">
        <v>6</v>
      </c>
      <c r="B11" s="28" t="s">
        <v>622</v>
      </c>
      <c r="C11" s="29" t="s">
        <v>63</v>
      </c>
      <c r="D11" s="32"/>
      <c r="J11" s="32"/>
      <c r="K11" s="32"/>
      <c r="L11" s="32"/>
      <c r="M11" s="32"/>
      <c r="N11" s="32"/>
      <c r="O11" s="32"/>
      <c r="P11" s="33" t="str">
        <f t="shared" si="0"/>
        <v/>
      </c>
      <c r="Q11" s="33" t="str">
        <f t="shared" si="1"/>
        <v/>
      </c>
      <c r="R11" s="34"/>
      <c r="S11" s="33" t="str">
        <f t="shared" si="2"/>
        <v/>
      </c>
      <c r="T11" s="13" t="str">
        <f t="shared" si="3"/>
        <v>KOSONG: isi staf, biaya, nilai alat, dan luas lantai</v>
      </c>
    </row>
    <row r="12" spans="1:20" x14ac:dyDescent="0.3">
      <c r="A12" s="28">
        <v>7</v>
      </c>
      <c r="B12" s="28" t="s">
        <v>623</v>
      </c>
      <c r="C12" s="29" t="s">
        <v>67</v>
      </c>
      <c r="D12" s="32"/>
      <c r="J12" s="32"/>
      <c r="K12" s="32"/>
      <c r="L12" s="32"/>
      <c r="M12" s="32"/>
      <c r="N12" s="32"/>
      <c r="O12" s="32"/>
      <c r="P12" s="33" t="str">
        <f t="shared" si="0"/>
        <v/>
      </c>
      <c r="Q12" s="33" t="str">
        <f t="shared" si="1"/>
        <v/>
      </c>
      <c r="R12" s="34"/>
      <c r="S12" s="33" t="str">
        <f t="shared" si="2"/>
        <v/>
      </c>
      <c r="T12" s="13" t="str">
        <f t="shared" si="3"/>
        <v>KOSONG: isi staf, biaya, nilai alat, dan luas lantai</v>
      </c>
    </row>
    <row r="13" spans="1:20" x14ac:dyDescent="0.3">
      <c r="A13" s="28">
        <v>8</v>
      </c>
      <c r="B13" s="28" t="s">
        <v>624</v>
      </c>
      <c r="C13" s="29" t="s">
        <v>61</v>
      </c>
      <c r="D13" s="32"/>
      <c r="J13" s="32"/>
      <c r="K13" s="32"/>
      <c r="L13" s="32"/>
      <c r="M13" s="32"/>
      <c r="N13" s="32"/>
      <c r="O13" s="32"/>
      <c r="P13" s="33" t="str">
        <f t="shared" si="0"/>
        <v/>
      </c>
      <c r="Q13" s="33" t="str">
        <f t="shared" si="1"/>
        <v/>
      </c>
      <c r="R13" s="34"/>
      <c r="S13" s="33" t="str">
        <f t="shared" si="2"/>
        <v/>
      </c>
      <c r="T13" s="13" t="str">
        <f t="shared" si="3"/>
        <v>KOSONG: isi staf, biaya, nilai alat, dan luas lantai</v>
      </c>
    </row>
    <row r="14" spans="1:20" x14ac:dyDescent="0.3">
      <c r="A14" s="28">
        <v>9</v>
      </c>
      <c r="B14" s="28" t="s">
        <v>625</v>
      </c>
      <c r="C14" s="29" t="s">
        <v>63</v>
      </c>
      <c r="D14" s="32"/>
      <c r="J14" s="32"/>
      <c r="K14" s="32"/>
      <c r="L14" s="32"/>
      <c r="M14" s="32"/>
      <c r="N14" s="32"/>
      <c r="O14" s="32"/>
      <c r="P14" s="33" t="str">
        <f t="shared" si="0"/>
        <v/>
      </c>
      <c r="Q14" s="33" t="str">
        <f t="shared" si="1"/>
        <v/>
      </c>
      <c r="R14" s="34"/>
      <c r="S14" s="33" t="str">
        <f t="shared" si="2"/>
        <v/>
      </c>
      <c r="T14" s="13" t="str">
        <f t="shared" si="3"/>
        <v>KOSONG: isi staf, biaya, nilai alat, dan luas lantai</v>
      </c>
    </row>
    <row r="15" spans="1:20" x14ac:dyDescent="0.3">
      <c r="A15" s="28">
        <v>10</v>
      </c>
      <c r="B15" s="28" t="s">
        <v>626</v>
      </c>
      <c r="C15" s="29" t="s">
        <v>63</v>
      </c>
      <c r="D15" s="32"/>
      <c r="J15" s="32"/>
      <c r="K15" s="32"/>
      <c r="L15" s="32"/>
      <c r="M15" s="32"/>
      <c r="N15" s="32"/>
      <c r="O15" s="32"/>
      <c r="P15" s="33" t="str">
        <f t="shared" si="0"/>
        <v/>
      </c>
      <c r="Q15" s="33" t="str">
        <f t="shared" si="1"/>
        <v/>
      </c>
      <c r="R15" s="34"/>
      <c r="S15" s="33" t="str">
        <f t="shared" si="2"/>
        <v/>
      </c>
      <c r="T15" s="13" t="str">
        <f t="shared" si="3"/>
        <v>KOSONG: isi staf, biaya, nilai alat, dan luas lantai</v>
      </c>
    </row>
    <row r="16" spans="1:20" x14ac:dyDescent="0.3">
      <c r="A16" s="28">
        <v>11</v>
      </c>
      <c r="B16" s="28" t="s">
        <v>627</v>
      </c>
      <c r="C16" s="29" t="s">
        <v>63</v>
      </c>
      <c r="D16" s="32"/>
      <c r="J16" s="32"/>
      <c r="K16" s="32"/>
      <c r="L16" s="32"/>
      <c r="M16" s="32"/>
      <c r="N16" s="32"/>
      <c r="O16" s="32"/>
      <c r="P16" s="33" t="str">
        <f t="shared" si="0"/>
        <v/>
      </c>
      <c r="Q16" s="33" t="str">
        <f t="shared" si="1"/>
        <v/>
      </c>
      <c r="R16" s="34"/>
      <c r="S16" s="33" t="str">
        <f t="shared" si="2"/>
        <v/>
      </c>
      <c r="T16" s="13" t="str">
        <f t="shared" si="3"/>
        <v>KOSONG: isi staf, biaya, nilai alat, dan luas lantai</v>
      </c>
    </row>
    <row r="17" spans="1:20" x14ac:dyDescent="0.3">
      <c r="A17" s="28">
        <v>12</v>
      </c>
      <c r="B17" s="28" t="s">
        <v>628</v>
      </c>
      <c r="C17" s="29" t="s">
        <v>65</v>
      </c>
      <c r="D17" s="32"/>
      <c r="J17" s="32"/>
      <c r="K17" s="32"/>
      <c r="L17" s="32"/>
      <c r="M17" s="32"/>
      <c r="N17" s="32"/>
      <c r="O17" s="32"/>
      <c r="P17" s="33" t="str">
        <f t="shared" si="0"/>
        <v/>
      </c>
      <c r="Q17" s="33" t="str">
        <f t="shared" si="1"/>
        <v/>
      </c>
      <c r="R17" s="34"/>
      <c r="S17" s="33" t="str">
        <f t="shared" si="2"/>
        <v/>
      </c>
      <c r="T17" s="13" t="str">
        <f t="shared" si="3"/>
        <v>KOSONG: isi staf, biaya, nilai alat, dan luas lantai</v>
      </c>
    </row>
    <row r="18" spans="1:20" x14ac:dyDescent="0.3">
      <c r="A18" s="35"/>
      <c r="B18" s="35" t="s">
        <v>629</v>
      </c>
      <c r="C18" s="35"/>
      <c r="D18" s="36">
        <f>IFERROR(SUM(D6:D17),"")</f>
        <v>0</v>
      </c>
      <c r="E18" s="35"/>
      <c r="F18" s="35"/>
      <c r="G18" s="35"/>
      <c r="H18" s="35"/>
      <c r="I18" s="35"/>
      <c r="J18" s="36">
        <f t="shared" ref="J18:S18" si="4">IFERROR(SUM(J6:J17),"")</f>
        <v>0</v>
      </c>
      <c r="K18" s="36">
        <f t="shared" si="4"/>
        <v>0</v>
      </c>
      <c r="L18" s="36">
        <f t="shared" si="4"/>
        <v>0</v>
      </c>
      <c r="M18" s="36">
        <f t="shared" si="4"/>
        <v>0</v>
      </c>
      <c r="N18" s="36">
        <f t="shared" si="4"/>
        <v>0</v>
      </c>
      <c r="O18" s="36">
        <f t="shared" si="4"/>
        <v>0</v>
      </c>
      <c r="P18" s="36">
        <f t="shared" si="4"/>
        <v>0</v>
      </c>
      <c r="Q18" s="36">
        <f t="shared" si="4"/>
        <v>0</v>
      </c>
      <c r="R18" s="36">
        <f t="shared" si="4"/>
        <v>0</v>
      </c>
      <c r="S18" s="36">
        <f t="shared" si="4"/>
        <v>0</v>
      </c>
    </row>
    <row r="20" spans="1:20" x14ac:dyDescent="0.3">
      <c r="A20" s="25" t="s">
        <v>630</v>
      </c>
      <c r="B20" s="26"/>
      <c r="C20" s="26"/>
      <c r="D20" s="26"/>
      <c r="E20" s="26"/>
      <c r="F20" s="26"/>
      <c r="G20" s="26"/>
      <c r="H20" s="26"/>
      <c r="I20" s="26"/>
      <c r="J20" s="26"/>
      <c r="K20" s="26"/>
      <c r="L20" s="26"/>
      <c r="M20" s="26"/>
      <c r="N20" s="26"/>
      <c r="O20" s="26"/>
      <c r="P20" s="26"/>
      <c r="Q20" s="26"/>
      <c r="R20" s="26"/>
      <c r="S20" s="26"/>
    </row>
    <row r="21" spans="1:20" s="3" customFormat="1" ht="41.4" x14ac:dyDescent="0.3">
      <c r="A21" s="31" t="s">
        <v>600</v>
      </c>
      <c r="B21" s="31" t="s">
        <v>601</v>
      </c>
      <c r="C21" s="31" t="s">
        <v>602</v>
      </c>
      <c r="D21" s="31" t="s">
        <v>603</v>
      </c>
      <c r="E21" s="31" t="s">
        <v>604</v>
      </c>
      <c r="F21" s="31" t="s">
        <v>352</v>
      </c>
      <c r="G21" s="31" t="s">
        <v>605</v>
      </c>
      <c r="H21" s="31" t="s">
        <v>160</v>
      </c>
      <c r="I21" s="31" t="s">
        <v>606</v>
      </c>
      <c r="J21" s="31" t="s">
        <v>227</v>
      </c>
      <c r="K21" s="31" t="s">
        <v>607</v>
      </c>
      <c r="L21" s="31" t="s">
        <v>608</v>
      </c>
      <c r="M21" s="31" t="s">
        <v>609</v>
      </c>
      <c r="N21" s="31" t="s">
        <v>610</v>
      </c>
      <c r="O21" s="31" t="s">
        <v>611</v>
      </c>
      <c r="P21" s="31" t="s">
        <v>612</v>
      </c>
      <c r="Q21" s="31" t="s">
        <v>613</v>
      </c>
      <c r="R21" s="31" t="s">
        <v>614</v>
      </c>
      <c r="S21" s="31" t="s">
        <v>615</v>
      </c>
      <c r="T21" s="11" t="s">
        <v>616</v>
      </c>
    </row>
    <row r="22" spans="1:20" x14ac:dyDescent="0.3">
      <c r="A22" s="28">
        <v>1</v>
      </c>
      <c r="B22" s="28" t="s">
        <v>369</v>
      </c>
      <c r="C22" s="29" t="s">
        <v>631</v>
      </c>
      <c r="D22" s="32"/>
      <c r="J22" s="32"/>
      <c r="K22" s="32"/>
      <c r="L22" s="32"/>
      <c r="M22" s="32"/>
      <c r="N22" s="32"/>
      <c r="O22" s="32"/>
      <c r="P22" s="33" t="str">
        <f t="shared" ref="P22:P33" si="5">IFERROR(IF(COUNT(N22)=0,"",N22/5),"")</f>
        <v/>
      </c>
      <c r="Q22" s="33" t="str">
        <f t="shared" ref="Q22:Q33" si="6">IFERROR(IF(COUNT(O22)=0,"",O22/40),"")</f>
        <v/>
      </c>
      <c r="R22" s="34"/>
      <c r="S22" s="33" t="str">
        <f t="shared" ref="S22:S33" si="7">IFERROR(IF(COUNT(J22:O22)&lt;6,"",SUM(J22:M22,P22:Q22)),"")</f>
        <v/>
      </c>
      <c r="T22" s="13" t="str">
        <f t="shared" ref="T22:T33" si="8">IF(COUNT(D22,J22:O22,R22)=0,"KOSONG: isi staf, biaya, nilai alat, dan luas lantai",IF(COUNTA(D22,J22:O22,R22)&gt;COUNT(D22,J22:O22,R22),"CEK: ada isian bukan angka",IF(C22="","CEK: pilih dasar alokasi",IF(COUNT(D22,J22:O22,R22)&lt;8,"BELUM LENGKAP: "&amp;(8-COUNT(D22,J22:O22,R22))&amp;" sel kosong (isi 0 bila tidak ada)",IF(MIN(D22,J22:O22,R22)&lt;0,"CEK: ada angka negatif",IF(D22&lt;&gt;INT(D22),"CEK: jumlah staf harus bilangan bulat",IF(AND(C22="jumlah_staf",D22=0),"CEK: dasar alokasi jumlah_staf tetapi staf = 0",IF(AND(C22="luas_lantai",R22=0),"CEK: dasar alokasi luas_lantai tetapi luas = 0",IF(AND(J22&gt;0,D22=0),"CEK: ada biaya gaji tetapi staf = 0",IF(AND(O22&gt;0,R22=0),"CEK: ada investasi gedung tetapi luas = 0","OK"))))))))))</f>
        <v>KOSONG: isi staf, biaya, nilai alat, dan luas lantai</v>
      </c>
    </row>
    <row r="23" spans="1:20" x14ac:dyDescent="0.3">
      <c r="A23" s="28">
        <v>2</v>
      </c>
      <c r="B23" s="28" t="s">
        <v>372</v>
      </c>
      <c r="C23" s="29" t="s">
        <v>632</v>
      </c>
      <c r="D23" s="32"/>
      <c r="J23" s="32"/>
      <c r="K23" s="32"/>
      <c r="L23" s="32"/>
      <c r="M23" s="32"/>
      <c r="N23" s="32"/>
      <c r="O23" s="32"/>
      <c r="P23" s="33" t="str">
        <f t="shared" si="5"/>
        <v/>
      </c>
      <c r="Q23" s="33" t="str">
        <f t="shared" si="6"/>
        <v/>
      </c>
      <c r="R23" s="34"/>
      <c r="S23" s="33" t="str">
        <f t="shared" si="7"/>
        <v/>
      </c>
      <c r="T23" s="13" t="str">
        <f t="shared" si="8"/>
        <v>KOSONG: isi staf, biaya, nilai alat, dan luas lantai</v>
      </c>
    </row>
    <row r="24" spans="1:20" x14ac:dyDescent="0.3">
      <c r="A24" s="28">
        <v>3</v>
      </c>
      <c r="B24" s="28" t="s">
        <v>375</v>
      </c>
      <c r="C24" s="29" t="s">
        <v>633</v>
      </c>
      <c r="D24" s="32"/>
      <c r="J24" s="32"/>
      <c r="K24" s="32"/>
      <c r="L24" s="32"/>
      <c r="M24" s="32"/>
      <c r="N24" s="32"/>
      <c r="O24" s="32"/>
      <c r="P24" s="33" t="str">
        <f t="shared" si="5"/>
        <v/>
      </c>
      <c r="Q24" s="33" t="str">
        <f t="shared" si="6"/>
        <v/>
      </c>
      <c r="R24" s="34"/>
      <c r="S24" s="33" t="str">
        <f t="shared" si="7"/>
        <v/>
      </c>
      <c r="T24" s="13" t="str">
        <f t="shared" si="8"/>
        <v>KOSONG: isi staf, biaya, nilai alat, dan luas lantai</v>
      </c>
    </row>
    <row r="25" spans="1:20" x14ac:dyDescent="0.3">
      <c r="A25" s="28">
        <v>4</v>
      </c>
      <c r="B25" s="28" t="s">
        <v>378</v>
      </c>
      <c r="C25" s="29" t="s">
        <v>634</v>
      </c>
      <c r="D25" s="32"/>
      <c r="J25" s="32"/>
      <c r="K25" s="32"/>
      <c r="L25" s="32"/>
      <c r="M25" s="32"/>
      <c r="N25" s="32"/>
      <c r="O25" s="32"/>
      <c r="P25" s="33" t="str">
        <f t="shared" si="5"/>
        <v/>
      </c>
      <c r="Q25" s="33" t="str">
        <f t="shared" si="6"/>
        <v/>
      </c>
      <c r="R25" s="34"/>
      <c r="S25" s="33" t="str">
        <f t="shared" si="7"/>
        <v/>
      </c>
      <c r="T25" s="13" t="str">
        <f t="shared" si="8"/>
        <v>KOSONG: isi staf, biaya, nilai alat, dan luas lantai</v>
      </c>
    </row>
    <row r="26" spans="1:20" x14ac:dyDescent="0.3">
      <c r="A26" s="28">
        <v>5</v>
      </c>
      <c r="B26" s="28" t="s">
        <v>381</v>
      </c>
      <c r="C26" s="29" t="s">
        <v>67</v>
      </c>
      <c r="D26" s="32"/>
      <c r="J26" s="32"/>
      <c r="K26" s="32"/>
      <c r="L26" s="32"/>
      <c r="M26" s="32"/>
      <c r="N26" s="32"/>
      <c r="O26" s="32"/>
      <c r="P26" s="33" t="str">
        <f t="shared" si="5"/>
        <v/>
      </c>
      <c r="Q26" s="33" t="str">
        <f t="shared" si="6"/>
        <v/>
      </c>
      <c r="R26" s="34"/>
      <c r="S26" s="33" t="str">
        <f t="shared" si="7"/>
        <v/>
      </c>
      <c r="T26" s="13" t="str">
        <f t="shared" si="8"/>
        <v>KOSONG: isi staf, biaya, nilai alat, dan luas lantai</v>
      </c>
    </row>
    <row r="27" spans="1:20" x14ac:dyDescent="0.3">
      <c r="A27" s="28">
        <v>6</v>
      </c>
      <c r="B27" s="28" t="s">
        <v>384</v>
      </c>
      <c r="C27" s="29" t="s">
        <v>635</v>
      </c>
      <c r="D27" s="32"/>
      <c r="J27" s="32"/>
      <c r="K27" s="32"/>
      <c r="L27" s="32"/>
      <c r="M27" s="32"/>
      <c r="N27" s="32"/>
      <c r="O27" s="32"/>
      <c r="P27" s="33" t="str">
        <f t="shared" si="5"/>
        <v/>
      </c>
      <c r="Q27" s="33" t="str">
        <f t="shared" si="6"/>
        <v/>
      </c>
      <c r="R27" s="34"/>
      <c r="S27" s="33" t="str">
        <f t="shared" si="7"/>
        <v/>
      </c>
      <c r="T27" s="13" t="str">
        <f t="shared" si="8"/>
        <v>KOSONG: isi staf, biaya, nilai alat, dan luas lantai</v>
      </c>
    </row>
    <row r="28" spans="1:20" x14ac:dyDescent="0.3">
      <c r="A28" s="28">
        <v>7</v>
      </c>
      <c r="B28" s="28" t="s">
        <v>387</v>
      </c>
      <c r="C28" s="29" t="s">
        <v>69</v>
      </c>
      <c r="D28" s="32"/>
      <c r="J28" s="32"/>
      <c r="K28" s="32"/>
      <c r="L28" s="32"/>
      <c r="M28" s="32"/>
      <c r="N28" s="32"/>
      <c r="O28" s="32"/>
      <c r="P28" s="33" t="str">
        <f t="shared" si="5"/>
        <v/>
      </c>
      <c r="Q28" s="33" t="str">
        <f t="shared" si="6"/>
        <v/>
      </c>
      <c r="R28" s="34"/>
      <c r="S28" s="33" t="str">
        <f t="shared" si="7"/>
        <v/>
      </c>
      <c r="T28" s="13" t="str">
        <f t="shared" si="8"/>
        <v>KOSONG: isi staf, biaya, nilai alat, dan luas lantai</v>
      </c>
    </row>
    <row r="29" spans="1:20" x14ac:dyDescent="0.3">
      <c r="A29" s="28">
        <v>8</v>
      </c>
      <c r="B29" s="28" t="s">
        <v>391</v>
      </c>
      <c r="C29" s="29" t="s">
        <v>69</v>
      </c>
      <c r="D29" s="32"/>
      <c r="J29" s="32"/>
      <c r="K29" s="32"/>
      <c r="L29" s="32"/>
      <c r="M29" s="32"/>
      <c r="N29" s="32"/>
      <c r="O29" s="32"/>
      <c r="P29" s="33" t="str">
        <f t="shared" si="5"/>
        <v/>
      </c>
      <c r="Q29" s="33" t="str">
        <f t="shared" si="6"/>
        <v/>
      </c>
      <c r="R29" s="34"/>
      <c r="S29" s="33" t="str">
        <f t="shared" si="7"/>
        <v/>
      </c>
      <c r="T29" s="13" t="str">
        <f t="shared" si="8"/>
        <v>KOSONG: isi staf, biaya, nilai alat, dan luas lantai</v>
      </c>
    </row>
    <row r="30" spans="1:20" x14ac:dyDescent="0.3">
      <c r="A30" s="28">
        <v>9</v>
      </c>
      <c r="B30" s="28" t="s">
        <v>394</v>
      </c>
      <c r="C30" s="29" t="s">
        <v>636</v>
      </c>
      <c r="D30" s="32"/>
      <c r="J30" s="32"/>
      <c r="K30" s="32"/>
      <c r="L30" s="32"/>
      <c r="M30" s="32"/>
      <c r="N30" s="32"/>
      <c r="O30" s="32"/>
      <c r="P30" s="33" t="str">
        <f t="shared" si="5"/>
        <v/>
      </c>
      <c r="Q30" s="33" t="str">
        <f t="shared" si="6"/>
        <v/>
      </c>
      <c r="R30" s="34"/>
      <c r="S30" s="33" t="str">
        <f t="shared" si="7"/>
        <v/>
      </c>
      <c r="T30" s="13" t="str">
        <f t="shared" si="8"/>
        <v>KOSONG: isi staf, biaya, nilai alat, dan luas lantai</v>
      </c>
    </row>
    <row r="31" spans="1:20" x14ac:dyDescent="0.3">
      <c r="A31" s="28">
        <v>10</v>
      </c>
      <c r="B31" s="28" t="s">
        <v>397</v>
      </c>
      <c r="C31" s="29" t="s">
        <v>637</v>
      </c>
      <c r="D31" s="32"/>
      <c r="J31" s="32"/>
      <c r="K31" s="32"/>
      <c r="L31" s="32"/>
      <c r="M31" s="32"/>
      <c r="N31" s="32"/>
      <c r="O31" s="32"/>
      <c r="P31" s="33" t="str">
        <f t="shared" si="5"/>
        <v/>
      </c>
      <c r="Q31" s="33" t="str">
        <f t="shared" si="6"/>
        <v/>
      </c>
      <c r="R31" s="34"/>
      <c r="S31" s="33" t="str">
        <f t="shared" si="7"/>
        <v/>
      </c>
      <c r="T31" s="13" t="str">
        <f t="shared" si="8"/>
        <v>KOSONG: isi staf, biaya, nilai alat, dan luas lantai</v>
      </c>
    </row>
    <row r="32" spans="1:20" x14ac:dyDescent="0.3">
      <c r="A32" s="28">
        <v>11</v>
      </c>
      <c r="B32" s="28" t="s">
        <v>400</v>
      </c>
      <c r="C32" s="29" t="s">
        <v>638</v>
      </c>
      <c r="D32" s="32"/>
      <c r="J32" s="32"/>
      <c r="K32" s="32"/>
      <c r="L32" s="32"/>
      <c r="M32" s="32"/>
      <c r="N32" s="32"/>
      <c r="O32" s="32"/>
      <c r="P32" s="33" t="str">
        <f t="shared" si="5"/>
        <v/>
      </c>
      <c r="Q32" s="33" t="str">
        <f t="shared" si="6"/>
        <v/>
      </c>
      <c r="R32" s="34"/>
      <c r="S32" s="33" t="str">
        <f t="shared" si="7"/>
        <v/>
      </c>
      <c r="T32" s="13" t="str">
        <f t="shared" si="8"/>
        <v>KOSONG: isi staf, biaya, nilai alat, dan luas lantai</v>
      </c>
    </row>
    <row r="33" spans="1:20" x14ac:dyDescent="0.3">
      <c r="A33" s="28">
        <v>12</v>
      </c>
      <c r="B33" s="28" t="s">
        <v>403</v>
      </c>
      <c r="C33" s="29" t="s">
        <v>404</v>
      </c>
      <c r="D33" s="32"/>
      <c r="J33" s="32"/>
      <c r="K33" s="32"/>
      <c r="L33" s="32"/>
      <c r="M33" s="32"/>
      <c r="N33" s="32"/>
      <c r="O33" s="32"/>
      <c r="P33" s="33" t="str">
        <f t="shared" si="5"/>
        <v/>
      </c>
      <c r="Q33" s="33" t="str">
        <f t="shared" si="6"/>
        <v/>
      </c>
      <c r="R33" s="34"/>
      <c r="S33" s="33" t="str">
        <f t="shared" si="7"/>
        <v/>
      </c>
      <c r="T33" s="13" t="str">
        <f t="shared" si="8"/>
        <v>KOSONG: isi staf, biaya, nilai alat, dan luas lantai</v>
      </c>
    </row>
    <row r="34" spans="1:20" x14ac:dyDescent="0.3">
      <c r="A34" s="35"/>
      <c r="B34" s="35" t="s">
        <v>639</v>
      </c>
      <c r="C34" s="35"/>
      <c r="D34" s="36">
        <f>IFERROR(SUM(D22:D33),"")</f>
        <v>0</v>
      </c>
      <c r="E34" s="35"/>
      <c r="F34" s="35"/>
      <c r="G34" s="35"/>
      <c r="H34" s="35"/>
      <c r="I34" s="35"/>
      <c r="J34" s="36">
        <f t="shared" ref="J34:S34" si="9">IFERROR(SUM(J22:J33),"")</f>
        <v>0</v>
      </c>
      <c r="K34" s="36">
        <f t="shared" si="9"/>
        <v>0</v>
      </c>
      <c r="L34" s="36">
        <f t="shared" si="9"/>
        <v>0</v>
      </c>
      <c r="M34" s="36">
        <f t="shared" si="9"/>
        <v>0</v>
      </c>
      <c r="N34" s="36">
        <f t="shared" si="9"/>
        <v>0</v>
      </c>
      <c r="O34" s="36">
        <f t="shared" si="9"/>
        <v>0</v>
      </c>
      <c r="P34" s="36">
        <f t="shared" si="9"/>
        <v>0</v>
      </c>
      <c r="Q34" s="36">
        <f t="shared" si="9"/>
        <v>0</v>
      </c>
      <c r="R34" s="36">
        <f t="shared" si="9"/>
        <v>0</v>
      </c>
      <c r="S34" s="36">
        <f t="shared" si="9"/>
        <v>0</v>
      </c>
    </row>
    <row r="36" spans="1:20" x14ac:dyDescent="0.3">
      <c r="A36" s="25" t="s">
        <v>640</v>
      </c>
      <c r="B36" s="26"/>
      <c r="C36" s="26"/>
      <c r="D36" s="26"/>
      <c r="E36" s="26"/>
      <c r="F36" s="26"/>
      <c r="G36" s="26"/>
      <c r="H36" s="26"/>
      <c r="I36" s="26"/>
      <c r="J36" s="26"/>
      <c r="K36" s="26"/>
      <c r="L36" s="26"/>
      <c r="M36" s="26"/>
      <c r="N36" s="26"/>
      <c r="O36" s="26"/>
      <c r="P36" s="26"/>
      <c r="Q36" s="26"/>
      <c r="R36" s="26"/>
      <c r="S36" s="26"/>
    </row>
    <row r="37" spans="1:20" s="3" customFormat="1" ht="41.4" x14ac:dyDescent="0.3">
      <c r="A37" s="31" t="s">
        <v>600</v>
      </c>
      <c r="B37" s="31" t="s">
        <v>601</v>
      </c>
      <c r="C37" s="31" t="s">
        <v>602</v>
      </c>
      <c r="D37" s="31" t="s">
        <v>603</v>
      </c>
      <c r="E37" s="31" t="s">
        <v>604</v>
      </c>
      <c r="F37" s="31" t="s">
        <v>352</v>
      </c>
      <c r="G37" s="31" t="s">
        <v>605</v>
      </c>
      <c r="H37" s="31" t="s">
        <v>160</v>
      </c>
      <c r="I37" s="31" t="s">
        <v>606</v>
      </c>
      <c r="J37" s="31" t="s">
        <v>227</v>
      </c>
      <c r="K37" s="31" t="s">
        <v>607</v>
      </c>
      <c r="L37" s="31" t="s">
        <v>608</v>
      </c>
      <c r="M37" s="31" t="s">
        <v>609</v>
      </c>
      <c r="N37" s="31" t="s">
        <v>610</v>
      </c>
      <c r="O37" s="31" t="s">
        <v>611</v>
      </c>
      <c r="P37" s="31" t="s">
        <v>612</v>
      </c>
      <c r="Q37" s="31" t="s">
        <v>613</v>
      </c>
      <c r="R37" s="31" t="s">
        <v>614</v>
      </c>
      <c r="S37" s="31" t="s">
        <v>615</v>
      </c>
      <c r="T37" s="11" t="s">
        <v>616</v>
      </c>
    </row>
    <row r="38" spans="1:20" x14ac:dyDescent="0.3">
      <c r="A38" s="28">
        <v>1</v>
      </c>
      <c r="B38" s="28" t="s">
        <v>251</v>
      </c>
      <c r="C38" s="29" t="s">
        <v>69</v>
      </c>
      <c r="D38" s="32"/>
      <c r="E38" s="37" t="str">
        <f>IFERROR('Data Operasional'!G2,"")</f>
        <v/>
      </c>
      <c r="F38" s="37">
        <f>IFERROR('Data Operasional'!N2,"")</f>
        <v>0</v>
      </c>
      <c r="H38" s="38" t="str">
        <f>IFERROR(IF(N(F38)&gt;0,E38/F38,""),"")</f>
        <v/>
      </c>
      <c r="I38" s="32"/>
      <c r="J38" s="32"/>
      <c r="K38" s="32"/>
      <c r="L38" s="32"/>
      <c r="M38" s="32"/>
      <c r="N38" s="32"/>
      <c r="O38" s="32"/>
      <c r="P38" s="33" t="str">
        <f t="shared" ref="P38:P67" si="10">IFERROR(IF(COUNT(N38)=0,"",N38/5),"")</f>
        <v/>
      </c>
      <c r="Q38" s="33" t="str">
        <f t="shared" ref="Q38:Q67" si="11">IFERROR(IF(COUNT(O38)=0,"",O38/40),"")</f>
        <v/>
      </c>
      <c r="R38" s="34"/>
      <c r="S38" s="33" t="str">
        <f t="shared" ref="S38:S67" si="12">IFERROR(IF(COUNT(J38:O38)&lt;6,"",SUM(J38:M38,P38:Q38)),"")</f>
        <v/>
      </c>
      <c r="T38" s="13" t="str">
        <f>IF(COUNT(D38,J38:O38,R38,I38)=0,"KOSONG: isi staf, biaya, nilai alat, dan luas lantai",IF(COUNTA(D38,J38:O38,R38,I38)&gt;COUNT(D38,J38:O38,R38,I38),"CEK: ada isian bukan angka",IF(C38="","CEK: pilih dasar alokasi",IF(COUNT(D38,J38:O38,R38,I38)&lt;9,"BELUM LENGKAP: "&amp;(9-COUNT(D38,J38:O38,R38,I38))&amp;" sel kosong (isi 0 bila tidak ada)",IF(MIN(D38,J38:O38,R38,I38)&lt;0,"CEK: ada angka negatif",IF(D38&lt;&gt;INT(D38),"CEK: jumlah staf harus bilangan bulat",IF(AND(C38="jumlah_staf",D38=0),"CEK: dasar alokasi jumlah_staf tetapi staf = 0",IF(AND(C38="luas_lantai",R38=0),"CEK: dasar alokasi luas_lantai tetapi luas = 0",IF(AND(J38&gt;0,D38=0),"CEK: ada biaya gaji tetapi staf = 0",IF(AND(O38&gt;0,R38=0),"CEK: ada investasi gedung tetapi luas = 0",IF(N(E38)=0,"CEK: hari rawat 0, isi Data Operasional D dan E",IF(N(F38)=0,"CEK: pasien pulang 0, isi Data Operasional N",IF(I38&lt;&gt;N('Data Operasional'!J2),"CEK: tempat tidur (I) beda dengan Data Operasional J2",IF(I38&lt;&gt;INT(I38),"CEK: tempat tidur harus bilangan bulat","OK"))))))))))))))</f>
        <v>KOSONG: isi staf, biaya, nilai alat, dan luas lantai</v>
      </c>
    </row>
    <row r="39" spans="1:20" x14ac:dyDescent="0.3">
      <c r="A39" s="28">
        <v>2</v>
      </c>
      <c r="B39" s="28" t="s">
        <v>253</v>
      </c>
      <c r="C39" s="29" t="s">
        <v>69</v>
      </c>
      <c r="D39" s="32"/>
      <c r="E39" s="37" t="str">
        <f>IFERROR('Data Operasional'!G3,"")</f>
        <v/>
      </c>
      <c r="F39" s="37">
        <f>IFERROR('Data Operasional'!N3,"")</f>
        <v>0</v>
      </c>
      <c r="H39" s="38" t="str">
        <f>IFERROR(IF(N(F39)&gt;0,E39/F39,""),"")</f>
        <v/>
      </c>
      <c r="I39" s="32"/>
      <c r="J39" s="32"/>
      <c r="K39" s="32"/>
      <c r="L39" s="32"/>
      <c r="M39" s="32"/>
      <c r="N39" s="32"/>
      <c r="O39" s="32"/>
      <c r="P39" s="33" t="str">
        <f t="shared" si="10"/>
        <v/>
      </c>
      <c r="Q39" s="33" t="str">
        <f t="shared" si="11"/>
        <v/>
      </c>
      <c r="R39" s="34"/>
      <c r="S39" s="33" t="str">
        <f t="shared" si="12"/>
        <v/>
      </c>
      <c r="T39" s="13" t="str">
        <f>IF(COUNT(D39,J39:O39,R39,I39)=0,"KOSONG: isi staf, biaya, nilai alat, dan luas lantai",IF(COUNTA(D39,J39:O39,R39,I39)&gt;COUNT(D39,J39:O39,R39,I39),"CEK: ada isian bukan angka",IF(C39="","CEK: pilih dasar alokasi",IF(COUNT(D39,J39:O39,R39,I39)&lt;9,"BELUM LENGKAP: "&amp;(9-COUNT(D39,J39:O39,R39,I39))&amp;" sel kosong (isi 0 bila tidak ada)",IF(MIN(D39,J39:O39,R39,I39)&lt;0,"CEK: ada angka negatif",IF(D39&lt;&gt;INT(D39),"CEK: jumlah staf harus bilangan bulat",IF(AND(C39="jumlah_staf",D39=0),"CEK: dasar alokasi jumlah_staf tetapi staf = 0",IF(AND(C39="luas_lantai",R39=0),"CEK: dasar alokasi luas_lantai tetapi luas = 0",IF(AND(J39&gt;0,D39=0),"CEK: ada biaya gaji tetapi staf = 0",IF(AND(O39&gt;0,R39=0),"CEK: ada investasi gedung tetapi luas = 0",IF(N(E39)=0,"CEK: hari rawat 0, isi Data Operasional D dan E",IF(N(F39)=0,"CEK: pasien pulang 0, isi Data Operasional N",IF(I39&lt;&gt;N('Data Operasional'!J3),"CEK: tempat tidur (I) beda dengan Data Operasional J3",IF(I39&lt;&gt;INT(I39),"CEK: tempat tidur harus bilangan bulat","OK"))))))))))))))</f>
        <v>KOSONG: isi staf, biaya, nilai alat, dan luas lantai</v>
      </c>
    </row>
    <row r="40" spans="1:20" x14ac:dyDescent="0.3">
      <c r="A40" s="28">
        <v>3</v>
      </c>
      <c r="B40" s="28" t="s">
        <v>255</v>
      </c>
      <c r="C40" s="29" t="s">
        <v>69</v>
      </c>
      <c r="D40" s="32"/>
      <c r="E40" s="37" t="str">
        <f>IFERROR('Data Operasional'!G4,"")</f>
        <v/>
      </c>
      <c r="F40" s="37">
        <f>IFERROR('Data Operasional'!N4,"")</f>
        <v>0</v>
      </c>
      <c r="H40" s="38" t="str">
        <f>IFERROR(IF(N(F40)&gt;0,E40/F40,""),"")</f>
        <v/>
      </c>
      <c r="I40" s="32"/>
      <c r="J40" s="32"/>
      <c r="K40" s="32"/>
      <c r="L40" s="32"/>
      <c r="M40" s="32"/>
      <c r="N40" s="32"/>
      <c r="O40" s="32"/>
      <c r="P40" s="33" t="str">
        <f t="shared" si="10"/>
        <v/>
      </c>
      <c r="Q40" s="33" t="str">
        <f t="shared" si="11"/>
        <v/>
      </c>
      <c r="R40" s="34"/>
      <c r="S40" s="33" t="str">
        <f t="shared" si="12"/>
        <v/>
      </c>
      <c r="T40" s="13" t="str">
        <f>IF(COUNT(D40,J40:O40,R40,I40)=0,"KOSONG: isi staf, biaya, nilai alat, dan luas lantai",IF(COUNTA(D40,J40:O40,R40,I40)&gt;COUNT(D40,J40:O40,R40,I40),"CEK: ada isian bukan angka",IF(C40="","CEK: pilih dasar alokasi",IF(COUNT(D40,J40:O40,R40,I40)&lt;9,"BELUM LENGKAP: "&amp;(9-COUNT(D40,J40:O40,R40,I40))&amp;" sel kosong (isi 0 bila tidak ada)",IF(MIN(D40,J40:O40,R40,I40)&lt;0,"CEK: ada angka negatif",IF(D40&lt;&gt;INT(D40),"CEK: jumlah staf harus bilangan bulat",IF(AND(C40="jumlah_staf",D40=0),"CEK: dasar alokasi jumlah_staf tetapi staf = 0",IF(AND(C40="luas_lantai",R40=0),"CEK: dasar alokasi luas_lantai tetapi luas = 0",IF(AND(J40&gt;0,D40=0),"CEK: ada biaya gaji tetapi staf = 0",IF(AND(O40&gt;0,R40=0),"CEK: ada investasi gedung tetapi luas = 0",IF(N(E40)=0,"CEK: hari rawat 0, isi Data Operasional D dan E",IF(N(F40)=0,"CEK: pasien pulang 0, isi Data Operasional N",IF(I40&lt;&gt;N('Data Operasional'!J4),"CEK: tempat tidur (I) beda dengan Data Operasional J4",IF(I40&lt;&gt;INT(I40),"CEK: tempat tidur harus bilangan bulat","OK"))))))))))))))</f>
        <v>KOSONG: isi staf, biaya, nilai alat, dan luas lantai</v>
      </c>
    </row>
    <row r="41" spans="1:20" x14ac:dyDescent="0.3">
      <c r="A41" s="28">
        <v>4</v>
      </c>
      <c r="B41" s="28" t="s">
        <v>79</v>
      </c>
      <c r="C41" s="29" t="s">
        <v>69</v>
      </c>
      <c r="D41" s="32"/>
      <c r="E41" s="37" t="str">
        <f>IFERROR('Data Operasional'!G5,"")</f>
        <v/>
      </c>
      <c r="F41" s="37">
        <f>IFERROR('Data Operasional'!N5,"")</f>
        <v>0</v>
      </c>
      <c r="H41" s="38" t="str">
        <f>IFERROR(IF(N(F41)&gt;0,E41/F41,""),"")</f>
        <v/>
      </c>
      <c r="I41" s="32"/>
      <c r="J41" s="32"/>
      <c r="K41" s="32"/>
      <c r="L41" s="32"/>
      <c r="M41" s="32"/>
      <c r="N41" s="32"/>
      <c r="O41" s="32"/>
      <c r="P41" s="33" t="str">
        <f t="shared" si="10"/>
        <v/>
      </c>
      <c r="Q41" s="33" t="str">
        <f t="shared" si="11"/>
        <v/>
      </c>
      <c r="R41" s="34"/>
      <c r="S41" s="33" t="str">
        <f t="shared" si="12"/>
        <v/>
      </c>
      <c r="T41" s="13" t="str">
        <f>IF(COUNT(D41,J41:O41,R41,I41)=0,"KOSONG: isi staf, biaya, nilai alat, dan luas lantai",IF(COUNTA(D41,J41:O41,R41,I41)&gt;COUNT(D41,J41:O41,R41,I41),"CEK: ada isian bukan angka",IF(C41="","CEK: pilih dasar alokasi",IF(COUNT(D41,J41:O41,R41,I41)&lt;9,"BELUM LENGKAP: "&amp;(9-COUNT(D41,J41:O41,R41,I41))&amp;" sel kosong (isi 0 bila tidak ada)",IF(MIN(D41,J41:O41,R41,I41)&lt;0,"CEK: ada angka negatif",IF(D41&lt;&gt;INT(D41),"CEK: jumlah staf harus bilangan bulat",IF(AND(C41="jumlah_staf",D41=0),"CEK: dasar alokasi jumlah_staf tetapi staf = 0",IF(AND(C41="luas_lantai",R41=0),"CEK: dasar alokasi luas_lantai tetapi luas = 0",IF(AND(J41&gt;0,D41=0),"CEK: ada biaya gaji tetapi staf = 0",IF(AND(O41&gt;0,R41=0),"CEK: ada investasi gedung tetapi luas = 0",IF(N(E41)=0,"CEK: hari rawat 0, isi Data Operasional D dan E",IF(N(F41)=0,"CEK: pasien pulang 0, isi Data Operasional N",IF(I41&lt;&gt;N('Data Operasional'!J5),"CEK: tempat tidur (I) beda dengan Data Operasional J5",IF(I41&lt;&gt;INT(I41),"CEK: tempat tidur harus bilangan bulat","OK"))))))))))))))</f>
        <v>KOSONG: isi staf, biaya, nilai alat, dan luas lantai</v>
      </c>
    </row>
    <row r="42" spans="1:20" x14ac:dyDescent="0.3">
      <c r="A42" s="28">
        <v>5</v>
      </c>
      <c r="B42" s="28" t="s">
        <v>81</v>
      </c>
      <c r="C42" s="29" t="s">
        <v>69</v>
      </c>
      <c r="D42" s="32"/>
      <c r="E42" s="37" t="str">
        <f>IFERROR('Data Operasional'!G6,"")</f>
        <v/>
      </c>
      <c r="F42" s="37">
        <f>IFERROR('Data Operasional'!N6,"")</f>
        <v>0</v>
      </c>
      <c r="H42" s="38" t="str">
        <f>IFERROR(IF(N(F42)&gt;0,E42/F42,""),"")</f>
        <v/>
      </c>
      <c r="I42" s="32"/>
      <c r="J42" s="32"/>
      <c r="K42" s="32"/>
      <c r="L42" s="32"/>
      <c r="M42" s="32"/>
      <c r="N42" s="32"/>
      <c r="O42" s="32"/>
      <c r="P42" s="33" t="str">
        <f t="shared" si="10"/>
        <v/>
      </c>
      <c r="Q42" s="33" t="str">
        <f t="shared" si="11"/>
        <v/>
      </c>
      <c r="R42" s="34"/>
      <c r="S42" s="33" t="str">
        <f t="shared" si="12"/>
        <v/>
      </c>
      <c r="T42" s="13" t="str">
        <f>IF(COUNT(D42,J42:O42,R42,I42)=0,"KOSONG: isi staf, biaya, nilai alat, dan luas lantai",IF(COUNTA(D42,J42:O42,R42,I42)&gt;COUNT(D42,J42:O42,R42,I42),"CEK: ada isian bukan angka",IF(C42="","CEK: pilih dasar alokasi",IF(COUNT(D42,J42:O42,R42,I42)&lt;9,"BELUM LENGKAP: "&amp;(9-COUNT(D42,J42:O42,R42,I42))&amp;" sel kosong (isi 0 bila tidak ada)",IF(MIN(D42,J42:O42,R42,I42)&lt;0,"CEK: ada angka negatif",IF(D42&lt;&gt;INT(D42),"CEK: jumlah staf harus bilangan bulat",IF(AND(C42="jumlah_staf",D42=0),"CEK: dasar alokasi jumlah_staf tetapi staf = 0",IF(AND(C42="luas_lantai",R42=0),"CEK: dasar alokasi luas_lantai tetapi luas = 0",IF(AND(J42&gt;0,D42=0),"CEK: ada biaya gaji tetapi staf = 0",IF(AND(O42&gt;0,R42=0),"CEK: ada investasi gedung tetapi luas = 0",IF(N(E42)=0,"CEK: hari rawat 0, isi Data Operasional D dan E",IF(N(F42)=0,"CEK: pasien pulang 0, isi Data Operasional N",IF(I42&lt;&gt;N('Data Operasional'!J6),"CEK: tempat tidur (I) beda dengan Data Operasional J6",IF(I42&lt;&gt;INT(I42),"CEK: tempat tidur harus bilangan bulat","OK"))))))))))))))</f>
        <v>KOSONG: isi staf, biaya, nilai alat, dan luas lantai</v>
      </c>
    </row>
    <row r="43" spans="1:20" x14ac:dyDescent="0.3">
      <c r="A43" s="28">
        <v>6</v>
      </c>
      <c r="B43" s="28" t="s">
        <v>356</v>
      </c>
      <c r="C43" s="29" t="s">
        <v>65</v>
      </c>
      <c r="D43" s="32"/>
      <c r="G43" s="37" t="str">
        <f>IFERROR('Data Operasional'!F7,"")</f>
        <v/>
      </c>
      <c r="J43" s="32"/>
      <c r="K43" s="32"/>
      <c r="L43" s="32"/>
      <c r="M43" s="32"/>
      <c r="N43" s="32"/>
      <c r="O43" s="32"/>
      <c r="P43" s="33" t="str">
        <f t="shared" si="10"/>
        <v/>
      </c>
      <c r="Q43" s="33" t="str">
        <f t="shared" si="11"/>
        <v/>
      </c>
      <c r="R43" s="34"/>
      <c r="S43" s="33" t="str">
        <f t="shared" si="12"/>
        <v/>
      </c>
      <c r="T43" s="13" t="str">
        <f t="shared" ref="T43:T67" si="13">IF(COUNT(D43,J43:O43,R43)=0,"KOSONG: isi staf, biaya, nilai alat, dan luas lantai",IF(COUNTA(D43,J43:O43,R43)&gt;COUNT(D43,J43:O43,R43),"CEK: ada isian bukan angka",IF(C43="","CEK: pilih dasar alokasi",IF(COUNT(D43,J43:O43,R43)&lt;8,"BELUM LENGKAP: "&amp;(8-COUNT(D43,J43:O43,R43))&amp;" sel kosong (isi 0 bila tidak ada)",IF(MIN(D43,J43:O43,R43)&lt;0,"CEK: ada angka negatif",IF(D43&lt;&gt;INT(D43),"CEK: jumlah staf harus bilangan bulat",IF(AND(C43="jumlah_staf",D43=0),"CEK: dasar alokasi jumlah_staf tetapi staf = 0",IF(AND(C43="luas_lantai",R43=0),"CEK: dasar alokasi luas_lantai tetapi luas = 0",IF(AND(J43&gt;0,D43=0),"CEK: ada biaya gaji tetapi staf = 0",IF(AND(O43&gt;0,R43=0),"CEK: ada investasi gedung tetapi luas = 0",IF(N(G43)=0,"CEK: kunjungan 0, unit cost tidak terhitung (Data Operasional B, C)","OK")))))))))))</f>
        <v>KOSONG: isi staf, biaya, nilai alat, dan luas lantai</v>
      </c>
    </row>
    <row r="44" spans="1:20" x14ac:dyDescent="0.3">
      <c r="A44" s="28">
        <v>7</v>
      </c>
      <c r="B44" s="28" t="s">
        <v>358</v>
      </c>
      <c r="C44" s="29" t="s">
        <v>65</v>
      </c>
      <c r="D44" s="32"/>
      <c r="G44" s="37" t="str">
        <f>IFERROR('Data Operasional'!F8,"")</f>
        <v/>
      </c>
      <c r="J44" s="32"/>
      <c r="K44" s="32"/>
      <c r="L44" s="32"/>
      <c r="M44" s="32"/>
      <c r="N44" s="32"/>
      <c r="O44" s="32"/>
      <c r="P44" s="33" t="str">
        <f t="shared" si="10"/>
        <v/>
      </c>
      <c r="Q44" s="33" t="str">
        <f t="shared" si="11"/>
        <v/>
      </c>
      <c r="R44" s="34"/>
      <c r="S44" s="33" t="str">
        <f t="shared" si="12"/>
        <v/>
      </c>
      <c r="T44" s="13" t="str">
        <f t="shared" si="13"/>
        <v>KOSONG: isi staf, biaya, nilai alat, dan luas lantai</v>
      </c>
    </row>
    <row r="45" spans="1:20" x14ac:dyDescent="0.3">
      <c r="A45" s="28">
        <v>8</v>
      </c>
      <c r="B45" s="28" t="s">
        <v>360</v>
      </c>
      <c r="C45" s="29" t="s">
        <v>65</v>
      </c>
      <c r="D45" s="32"/>
      <c r="G45" s="37" t="str">
        <f>IFERROR('Data Operasional'!F9,"")</f>
        <v/>
      </c>
      <c r="J45" s="32"/>
      <c r="K45" s="32"/>
      <c r="L45" s="32"/>
      <c r="M45" s="32"/>
      <c r="N45" s="32"/>
      <c r="O45" s="32"/>
      <c r="P45" s="33" t="str">
        <f t="shared" si="10"/>
        <v/>
      </c>
      <c r="Q45" s="33" t="str">
        <f t="shared" si="11"/>
        <v/>
      </c>
      <c r="R45" s="34"/>
      <c r="S45" s="33" t="str">
        <f t="shared" si="12"/>
        <v/>
      </c>
      <c r="T45" s="13" t="str">
        <f t="shared" si="13"/>
        <v>KOSONG: isi staf, biaya, nilai alat, dan luas lantai</v>
      </c>
    </row>
    <row r="46" spans="1:20" x14ac:dyDescent="0.3">
      <c r="A46" s="28">
        <v>9</v>
      </c>
      <c r="B46" s="28" t="s">
        <v>361</v>
      </c>
      <c r="C46" s="29" t="s">
        <v>65</v>
      </c>
      <c r="D46" s="32"/>
      <c r="G46" s="37" t="str">
        <f>IFERROR('Data Operasional'!F10,"")</f>
        <v/>
      </c>
      <c r="J46" s="32"/>
      <c r="K46" s="32"/>
      <c r="L46" s="32"/>
      <c r="M46" s="32"/>
      <c r="N46" s="32"/>
      <c r="O46" s="32"/>
      <c r="P46" s="33" t="str">
        <f t="shared" si="10"/>
        <v/>
      </c>
      <c r="Q46" s="33" t="str">
        <f t="shared" si="11"/>
        <v/>
      </c>
      <c r="R46" s="34"/>
      <c r="S46" s="33" t="str">
        <f t="shared" si="12"/>
        <v/>
      </c>
      <c r="T46" s="13" t="str">
        <f t="shared" si="13"/>
        <v>KOSONG: isi staf, biaya, nilai alat, dan luas lantai</v>
      </c>
    </row>
    <row r="47" spans="1:20" x14ac:dyDescent="0.3">
      <c r="A47" s="28">
        <v>10</v>
      </c>
      <c r="B47" s="28" t="s">
        <v>368</v>
      </c>
      <c r="C47" s="29" t="s">
        <v>65</v>
      </c>
      <c r="D47" s="32"/>
      <c r="G47" s="37" t="str">
        <f>IFERROR('Data Operasional'!F11,"")</f>
        <v/>
      </c>
      <c r="J47" s="32"/>
      <c r="K47" s="32"/>
      <c r="L47" s="32"/>
      <c r="M47" s="32"/>
      <c r="N47" s="32"/>
      <c r="O47" s="32"/>
      <c r="P47" s="33" t="str">
        <f t="shared" si="10"/>
        <v/>
      </c>
      <c r="Q47" s="33" t="str">
        <f t="shared" si="11"/>
        <v/>
      </c>
      <c r="R47" s="34"/>
      <c r="S47" s="33" t="str">
        <f t="shared" si="12"/>
        <v/>
      </c>
      <c r="T47" s="13" t="str">
        <f t="shared" si="13"/>
        <v>KOSONG: isi staf, biaya, nilai alat, dan luas lantai</v>
      </c>
    </row>
    <row r="48" spans="1:20" x14ac:dyDescent="0.3">
      <c r="A48" s="28">
        <v>11</v>
      </c>
      <c r="B48" s="28" t="s">
        <v>371</v>
      </c>
      <c r="C48" s="29" t="s">
        <v>65</v>
      </c>
      <c r="D48" s="32"/>
      <c r="G48" s="37" t="str">
        <f>IFERROR('Data Operasional'!F12,"")</f>
        <v/>
      </c>
      <c r="J48" s="32"/>
      <c r="K48" s="32"/>
      <c r="L48" s="32"/>
      <c r="M48" s="32"/>
      <c r="N48" s="32"/>
      <c r="O48" s="32"/>
      <c r="P48" s="33" t="str">
        <f t="shared" si="10"/>
        <v/>
      </c>
      <c r="Q48" s="33" t="str">
        <f t="shared" si="11"/>
        <v/>
      </c>
      <c r="R48" s="34"/>
      <c r="S48" s="33" t="str">
        <f t="shared" si="12"/>
        <v/>
      </c>
      <c r="T48" s="13" t="str">
        <f t="shared" si="13"/>
        <v>KOSONG: isi staf, biaya, nilai alat, dan luas lantai</v>
      </c>
    </row>
    <row r="49" spans="1:20" x14ac:dyDescent="0.3">
      <c r="A49" s="28">
        <v>12</v>
      </c>
      <c r="B49" s="28" t="s">
        <v>374</v>
      </c>
      <c r="C49" s="29" t="s">
        <v>65</v>
      </c>
      <c r="D49" s="32"/>
      <c r="G49" s="37" t="str">
        <f>IFERROR('Data Operasional'!F13,"")</f>
        <v/>
      </c>
      <c r="J49" s="32"/>
      <c r="K49" s="32"/>
      <c r="L49" s="32"/>
      <c r="M49" s="32"/>
      <c r="N49" s="32"/>
      <c r="O49" s="32"/>
      <c r="P49" s="33" t="str">
        <f t="shared" si="10"/>
        <v/>
      </c>
      <c r="Q49" s="33" t="str">
        <f t="shared" si="11"/>
        <v/>
      </c>
      <c r="R49" s="34"/>
      <c r="S49" s="33" t="str">
        <f t="shared" si="12"/>
        <v/>
      </c>
      <c r="T49" s="13" t="str">
        <f t="shared" si="13"/>
        <v>KOSONG: isi staf, biaya, nilai alat, dan luas lantai</v>
      </c>
    </row>
    <row r="50" spans="1:20" x14ac:dyDescent="0.3">
      <c r="A50" s="28">
        <v>13</v>
      </c>
      <c r="B50" s="28" t="s">
        <v>377</v>
      </c>
      <c r="C50" s="29" t="s">
        <v>65</v>
      </c>
      <c r="D50" s="32"/>
      <c r="G50" s="37" t="str">
        <f>IFERROR('Data Operasional'!F14,"")</f>
        <v/>
      </c>
      <c r="J50" s="32"/>
      <c r="K50" s="32"/>
      <c r="L50" s="32"/>
      <c r="M50" s="32"/>
      <c r="N50" s="32"/>
      <c r="O50" s="32"/>
      <c r="P50" s="33" t="str">
        <f t="shared" si="10"/>
        <v/>
      </c>
      <c r="Q50" s="33" t="str">
        <f t="shared" si="11"/>
        <v/>
      </c>
      <c r="R50" s="34"/>
      <c r="S50" s="33" t="str">
        <f t="shared" si="12"/>
        <v/>
      </c>
      <c r="T50" s="13" t="str">
        <f t="shared" si="13"/>
        <v>KOSONG: isi staf, biaya, nilai alat, dan luas lantai</v>
      </c>
    </row>
    <row r="51" spans="1:20" x14ac:dyDescent="0.3">
      <c r="A51" s="28">
        <v>14</v>
      </c>
      <c r="B51" s="28" t="s">
        <v>380</v>
      </c>
      <c r="C51" s="29" t="s">
        <v>65</v>
      </c>
      <c r="D51" s="32"/>
      <c r="G51" s="37" t="str">
        <f>IFERROR('Data Operasional'!F15,"")</f>
        <v/>
      </c>
      <c r="J51" s="32"/>
      <c r="K51" s="32"/>
      <c r="L51" s="32"/>
      <c r="M51" s="32"/>
      <c r="N51" s="32"/>
      <c r="O51" s="32"/>
      <c r="P51" s="33" t="str">
        <f t="shared" si="10"/>
        <v/>
      </c>
      <c r="Q51" s="33" t="str">
        <f t="shared" si="11"/>
        <v/>
      </c>
      <c r="R51" s="34"/>
      <c r="S51" s="33" t="str">
        <f t="shared" si="12"/>
        <v/>
      </c>
      <c r="T51" s="13" t="str">
        <f t="shared" si="13"/>
        <v>KOSONG: isi staf, biaya, nilai alat, dan luas lantai</v>
      </c>
    </row>
    <row r="52" spans="1:20" x14ac:dyDescent="0.3">
      <c r="A52" s="28">
        <v>15</v>
      </c>
      <c r="B52" s="28" t="s">
        <v>383</v>
      </c>
      <c r="C52" s="29" t="s">
        <v>65</v>
      </c>
      <c r="D52" s="32"/>
      <c r="G52" s="37" t="str">
        <f>IFERROR('Data Operasional'!F16,"")</f>
        <v/>
      </c>
      <c r="J52" s="32"/>
      <c r="K52" s="32"/>
      <c r="L52" s="32"/>
      <c r="M52" s="32"/>
      <c r="N52" s="32"/>
      <c r="O52" s="32"/>
      <c r="P52" s="33" t="str">
        <f t="shared" si="10"/>
        <v/>
      </c>
      <c r="Q52" s="33" t="str">
        <f t="shared" si="11"/>
        <v/>
      </c>
      <c r="R52" s="34"/>
      <c r="S52" s="33" t="str">
        <f t="shared" si="12"/>
        <v/>
      </c>
      <c r="T52" s="13" t="str">
        <f t="shared" si="13"/>
        <v>KOSONG: isi staf, biaya, nilai alat, dan luas lantai</v>
      </c>
    </row>
    <row r="53" spans="1:20" x14ac:dyDescent="0.3">
      <c r="A53" s="28">
        <v>16</v>
      </c>
      <c r="B53" s="28" t="s">
        <v>386</v>
      </c>
      <c r="C53" s="29" t="s">
        <v>65</v>
      </c>
      <c r="D53" s="32"/>
      <c r="G53" s="37" t="str">
        <f>IFERROR('Data Operasional'!F17,"")</f>
        <v/>
      </c>
      <c r="J53" s="32"/>
      <c r="K53" s="32"/>
      <c r="L53" s="32"/>
      <c r="M53" s="32"/>
      <c r="N53" s="32"/>
      <c r="O53" s="32"/>
      <c r="P53" s="33" t="str">
        <f t="shared" si="10"/>
        <v/>
      </c>
      <c r="Q53" s="33" t="str">
        <f t="shared" si="11"/>
        <v/>
      </c>
      <c r="R53" s="34"/>
      <c r="S53" s="33" t="str">
        <f t="shared" si="12"/>
        <v/>
      </c>
      <c r="T53" s="13" t="str">
        <f t="shared" si="13"/>
        <v>KOSONG: isi staf, biaya, nilai alat, dan luas lantai</v>
      </c>
    </row>
    <row r="54" spans="1:20" x14ac:dyDescent="0.3">
      <c r="A54" s="28">
        <v>17</v>
      </c>
      <c r="B54" s="28" t="s">
        <v>390</v>
      </c>
      <c r="C54" s="29" t="s">
        <v>65</v>
      </c>
      <c r="D54" s="32"/>
      <c r="G54" s="37" t="str">
        <f>IFERROR('Data Operasional'!F18,"")</f>
        <v/>
      </c>
      <c r="J54" s="32"/>
      <c r="K54" s="32"/>
      <c r="L54" s="32"/>
      <c r="M54" s="32"/>
      <c r="N54" s="32"/>
      <c r="O54" s="32"/>
      <c r="P54" s="33" t="str">
        <f t="shared" si="10"/>
        <v/>
      </c>
      <c r="Q54" s="33" t="str">
        <f t="shared" si="11"/>
        <v/>
      </c>
      <c r="R54" s="34"/>
      <c r="S54" s="33" t="str">
        <f t="shared" si="12"/>
        <v/>
      </c>
      <c r="T54" s="13" t="str">
        <f t="shared" si="13"/>
        <v>KOSONG: isi staf, biaya, nilai alat, dan luas lantai</v>
      </c>
    </row>
    <row r="55" spans="1:20" x14ac:dyDescent="0.3">
      <c r="A55" s="28">
        <v>18</v>
      </c>
      <c r="B55" s="28" t="s">
        <v>393</v>
      </c>
      <c r="C55" s="29" t="s">
        <v>65</v>
      </c>
      <c r="D55" s="32"/>
      <c r="G55" s="37" t="str">
        <f>IFERROR('Data Operasional'!F19,"")</f>
        <v/>
      </c>
      <c r="J55" s="32"/>
      <c r="K55" s="32"/>
      <c r="L55" s="32"/>
      <c r="M55" s="32"/>
      <c r="N55" s="32"/>
      <c r="O55" s="32"/>
      <c r="P55" s="33" t="str">
        <f t="shared" si="10"/>
        <v/>
      </c>
      <c r="Q55" s="33" t="str">
        <f t="shared" si="11"/>
        <v/>
      </c>
      <c r="R55" s="34"/>
      <c r="S55" s="33" t="str">
        <f t="shared" si="12"/>
        <v/>
      </c>
      <c r="T55" s="13" t="str">
        <f t="shared" si="13"/>
        <v>KOSONG: isi staf, biaya, nilai alat, dan luas lantai</v>
      </c>
    </row>
    <row r="56" spans="1:20" x14ac:dyDescent="0.3">
      <c r="A56" s="28">
        <v>19</v>
      </c>
      <c r="B56" s="28" t="s">
        <v>396</v>
      </c>
      <c r="C56" s="29" t="s">
        <v>65</v>
      </c>
      <c r="D56" s="32"/>
      <c r="G56" s="37" t="str">
        <f>IFERROR('Data Operasional'!F20,"")</f>
        <v/>
      </c>
      <c r="J56" s="32"/>
      <c r="K56" s="32"/>
      <c r="L56" s="32"/>
      <c r="M56" s="32"/>
      <c r="N56" s="32"/>
      <c r="O56" s="32"/>
      <c r="P56" s="33" t="str">
        <f t="shared" si="10"/>
        <v/>
      </c>
      <c r="Q56" s="33" t="str">
        <f t="shared" si="11"/>
        <v/>
      </c>
      <c r="R56" s="34"/>
      <c r="S56" s="33" t="str">
        <f t="shared" si="12"/>
        <v/>
      </c>
      <c r="T56" s="13" t="str">
        <f t="shared" si="13"/>
        <v>KOSONG: isi staf, biaya, nilai alat, dan luas lantai</v>
      </c>
    </row>
    <row r="57" spans="1:20" x14ac:dyDescent="0.3">
      <c r="A57" s="28">
        <v>20</v>
      </c>
      <c r="B57" s="28" t="s">
        <v>399</v>
      </c>
      <c r="C57" s="29" t="s">
        <v>65</v>
      </c>
      <c r="D57" s="32"/>
      <c r="G57" s="37" t="str">
        <f>IFERROR('Data Operasional'!F21,"")</f>
        <v/>
      </c>
      <c r="J57" s="32"/>
      <c r="K57" s="32"/>
      <c r="L57" s="32"/>
      <c r="M57" s="32"/>
      <c r="N57" s="32"/>
      <c r="O57" s="32"/>
      <c r="P57" s="33" t="str">
        <f t="shared" si="10"/>
        <v/>
      </c>
      <c r="Q57" s="33" t="str">
        <f t="shared" si="11"/>
        <v/>
      </c>
      <c r="R57" s="34"/>
      <c r="S57" s="33" t="str">
        <f t="shared" si="12"/>
        <v/>
      </c>
      <c r="T57" s="13" t="str">
        <f t="shared" si="13"/>
        <v>KOSONG: isi staf, biaya, nilai alat, dan luas lantai</v>
      </c>
    </row>
    <row r="58" spans="1:20" x14ac:dyDescent="0.3">
      <c r="A58" s="28">
        <v>21</v>
      </c>
      <c r="B58" s="28" t="s">
        <v>402</v>
      </c>
      <c r="C58" s="29" t="s">
        <v>65</v>
      </c>
      <c r="D58" s="32"/>
      <c r="G58" s="37" t="str">
        <f>IFERROR('Data Operasional'!F22,"")</f>
        <v/>
      </c>
      <c r="J58" s="32"/>
      <c r="K58" s="32"/>
      <c r="L58" s="32"/>
      <c r="M58" s="32"/>
      <c r="N58" s="32"/>
      <c r="O58" s="32"/>
      <c r="P58" s="33" t="str">
        <f t="shared" si="10"/>
        <v/>
      </c>
      <c r="Q58" s="33" t="str">
        <f t="shared" si="11"/>
        <v/>
      </c>
      <c r="R58" s="34"/>
      <c r="S58" s="33" t="str">
        <f t="shared" si="12"/>
        <v/>
      </c>
      <c r="T58" s="13" t="str">
        <f t="shared" si="13"/>
        <v>KOSONG: isi staf, biaya, nilai alat, dan luas lantai</v>
      </c>
    </row>
    <row r="59" spans="1:20" x14ac:dyDescent="0.3">
      <c r="A59" s="28">
        <v>22</v>
      </c>
      <c r="B59" s="28" t="s">
        <v>405</v>
      </c>
      <c r="C59" s="29" t="s">
        <v>65</v>
      </c>
      <c r="D59" s="32"/>
      <c r="G59" s="37" t="str">
        <f>IFERROR('Data Operasional'!F23,"")</f>
        <v/>
      </c>
      <c r="J59" s="32"/>
      <c r="K59" s="32"/>
      <c r="L59" s="32"/>
      <c r="M59" s="32"/>
      <c r="N59" s="32"/>
      <c r="O59" s="32"/>
      <c r="P59" s="33" t="str">
        <f t="shared" si="10"/>
        <v/>
      </c>
      <c r="Q59" s="33" t="str">
        <f t="shared" si="11"/>
        <v/>
      </c>
      <c r="R59" s="34"/>
      <c r="S59" s="33" t="str">
        <f t="shared" si="12"/>
        <v/>
      </c>
      <c r="T59" s="13" t="str">
        <f t="shared" si="13"/>
        <v>KOSONG: isi staf, biaya, nilai alat, dan luas lantai</v>
      </c>
    </row>
    <row r="60" spans="1:20" x14ac:dyDescent="0.3">
      <c r="A60" s="28">
        <v>23</v>
      </c>
      <c r="B60" s="28" t="s">
        <v>406</v>
      </c>
      <c r="C60" s="29" t="s">
        <v>65</v>
      </c>
      <c r="D60" s="32"/>
      <c r="G60" s="37" t="str">
        <f>IFERROR('Data Operasional'!F24,"")</f>
        <v/>
      </c>
      <c r="J60" s="32"/>
      <c r="K60" s="32"/>
      <c r="L60" s="32"/>
      <c r="M60" s="32"/>
      <c r="N60" s="32"/>
      <c r="O60" s="32"/>
      <c r="P60" s="33" t="str">
        <f t="shared" si="10"/>
        <v/>
      </c>
      <c r="Q60" s="33" t="str">
        <f t="shared" si="11"/>
        <v/>
      </c>
      <c r="R60" s="34"/>
      <c r="S60" s="33" t="str">
        <f t="shared" si="12"/>
        <v/>
      </c>
      <c r="T60" s="13" t="str">
        <f t="shared" si="13"/>
        <v>KOSONG: isi staf, biaya, nilai alat, dan luas lantai</v>
      </c>
    </row>
    <row r="61" spans="1:20" x14ac:dyDescent="0.3">
      <c r="A61" s="28">
        <v>24</v>
      </c>
      <c r="B61" s="28" t="s">
        <v>408</v>
      </c>
      <c r="C61" s="29" t="s">
        <v>65</v>
      </c>
      <c r="D61" s="32"/>
      <c r="G61" s="37" t="str">
        <f>IFERROR('Data Operasional'!F25,"")</f>
        <v/>
      </c>
      <c r="J61" s="32"/>
      <c r="K61" s="32"/>
      <c r="L61" s="32"/>
      <c r="M61" s="32"/>
      <c r="N61" s="32"/>
      <c r="O61" s="32"/>
      <c r="P61" s="33" t="str">
        <f t="shared" si="10"/>
        <v/>
      </c>
      <c r="Q61" s="33" t="str">
        <f t="shared" si="11"/>
        <v/>
      </c>
      <c r="R61" s="34"/>
      <c r="S61" s="33" t="str">
        <f t="shared" si="12"/>
        <v/>
      </c>
      <c r="T61" s="13" t="str">
        <f t="shared" si="13"/>
        <v>KOSONG: isi staf, biaya, nilai alat, dan luas lantai</v>
      </c>
    </row>
    <row r="62" spans="1:20" x14ac:dyDescent="0.3">
      <c r="A62" s="28">
        <v>25</v>
      </c>
      <c r="B62" s="28" t="s">
        <v>409</v>
      </c>
      <c r="C62" s="29" t="s">
        <v>65</v>
      </c>
      <c r="D62" s="32"/>
      <c r="G62" s="37" t="str">
        <f>IFERROR('Data Operasional'!F26,"")</f>
        <v/>
      </c>
      <c r="J62" s="32"/>
      <c r="K62" s="32"/>
      <c r="L62" s="32"/>
      <c r="M62" s="32"/>
      <c r="N62" s="32"/>
      <c r="O62" s="32"/>
      <c r="P62" s="33" t="str">
        <f t="shared" si="10"/>
        <v/>
      </c>
      <c r="Q62" s="33" t="str">
        <f t="shared" si="11"/>
        <v/>
      </c>
      <c r="R62" s="34"/>
      <c r="S62" s="33" t="str">
        <f t="shared" si="12"/>
        <v/>
      </c>
      <c r="T62" s="13" t="str">
        <f t="shared" si="13"/>
        <v>KOSONG: isi staf, biaya, nilai alat, dan luas lantai</v>
      </c>
    </row>
    <row r="63" spans="1:20" x14ac:dyDescent="0.3">
      <c r="A63" s="28">
        <v>26</v>
      </c>
      <c r="B63" s="28" t="s">
        <v>410</v>
      </c>
      <c r="C63" s="29" t="s">
        <v>65</v>
      </c>
      <c r="D63" s="32"/>
      <c r="G63" s="37" t="str">
        <f>IFERROR('Data Operasional'!F27,"")</f>
        <v/>
      </c>
      <c r="J63" s="32"/>
      <c r="K63" s="32"/>
      <c r="L63" s="32"/>
      <c r="M63" s="32"/>
      <c r="N63" s="32"/>
      <c r="O63" s="32"/>
      <c r="P63" s="33" t="str">
        <f t="shared" si="10"/>
        <v/>
      </c>
      <c r="Q63" s="33" t="str">
        <f t="shared" si="11"/>
        <v/>
      </c>
      <c r="R63" s="34"/>
      <c r="S63" s="33" t="str">
        <f t="shared" si="12"/>
        <v/>
      </c>
      <c r="T63" s="13" t="str">
        <f t="shared" si="13"/>
        <v>KOSONG: isi staf, biaya, nilai alat, dan luas lantai</v>
      </c>
    </row>
    <row r="64" spans="1:20" x14ac:dyDescent="0.3">
      <c r="A64" s="28">
        <v>27</v>
      </c>
      <c r="B64" s="28" t="s">
        <v>411</v>
      </c>
      <c r="C64" s="29" t="s">
        <v>65</v>
      </c>
      <c r="D64" s="32"/>
      <c r="G64" s="37" t="str">
        <f>IFERROR('Data Operasional'!F28,"")</f>
        <v/>
      </c>
      <c r="J64" s="32"/>
      <c r="K64" s="32"/>
      <c r="L64" s="32"/>
      <c r="M64" s="32"/>
      <c r="N64" s="32"/>
      <c r="O64" s="32"/>
      <c r="P64" s="33" t="str">
        <f t="shared" si="10"/>
        <v/>
      </c>
      <c r="Q64" s="33" t="str">
        <f t="shared" si="11"/>
        <v/>
      </c>
      <c r="R64" s="34"/>
      <c r="S64" s="33" t="str">
        <f t="shared" si="12"/>
        <v/>
      </c>
      <c r="T64" s="13" t="str">
        <f t="shared" si="13"/>
        <v>KOSONG: isi staf, biaya, nilai alat, dan luas lantai</v>
      </c>
    </row>
    <row r="65" spans="1:20" x14ac:dyDescent="0.3">
      <c r="A65" s="28">
        <v>28</v>
      </c>
      <c r="B65" s="28" t="s">
        <v>412</v>
      </c>
      <c r="C65" s="29" t="s">
        <v>65</v>
      </c>
      <c r="D65" s="32"/>
      <c r="G65" s="37" t="str">
        <f>IFERROR('Data Operasional'!F29,"")</f>
        <v/>
      </c>
      <c r="J65" s="32"/>
      <c r="K65" s="32"/>
      <c r="L65" s="32"/>
      <c r="M65" s="32"/>
      <c r="N65" s="32"/>
      <c r="O65" s="32"/>
      <c r="P65" s="33" t="str">
        <f t="shared" si="10"/>
        <v/>
      </c>
      <c r="Q65" s="33" t="str">
        <f t="shared" si="11"/>
        <v/>
      </c>
      <c r="R65" s="34"/>
      <c r="S65" s="33" t="str">
        <f t="shared" si="12"/>
        <v/>
      </c>
      <c r="T65" s="13" t="str">
        <f t="shared" si="13"/>
        <v>KOSONG: isi staf, biaya, nilai alat, dan luas lantai</v>
      </c>
    </row>
    <row r="66" spans="1:20" x14ac:dyDescent="0.3">
      <c r="A66" s="28">
        <v>29</v>
      </c>
      <c r="B66" s="28" t="s">
        <v>413</v>
      </c>
      <c r="C66" s="29" t="s">
        <v>65</v>
      </c>
      <c r="D66" s="32"/>
      <c r="G66" s="37" t="str">
        <f>IFERROR('Data Operasional'!F30,"")</f>
        <v/>
      </c>
      <c r="J66" s="32"/>
      <c r="K66" s="32"/>
      <c r="L66" s="32"/>
      <c r="M66" s="32"/>
      <c r="N66" s="32"/>
      <c r="O66" s="32"/>
      <c r="P66" s="33" t="str">
        <f t="shared" si="10"/>
        <v/>
      </c>
      <c r="Q66" s="33" t="str">
        <f t="shared" si="11"/>
        <v/>
      </c>
      <c r="R66" s="34"/>
      <c r="S66" s="33" t="str">
        <f t="shared" si="12"/>
        <v/>
      </c>
      <c r="T66" s="13" t="str">
        <f t="shared" si="13"/>
        <v>KOSONG: isi staf, biaya, nilai alat, dan luas lantai</v>
      </c>
    </row>
    <row r="67" spans="1:20" x14ac:dyDescent="0.3">
      <c r="A67" s="28">
        <v>30</v>
      </c>
      <c r="B67" s="28" t="s">
        <v>378</v>
      </c>
      <c r="C67" s="29" t="s">
        <v>65</v>
      </c>
      <c r="D67" s="32"/>
      <c r="G67" s="37" t="str">
        <f>IFERROR('Data Operasional'!F31,"")</f>
        <v/>
      </c>
      <c r="J67" s="32"/>
      <c r="K67" s="32"/>
      <c r="L67" s="32"/>
      <c r="M67" s="32"/>
      <c r="N67" s="32"/>
      <c r="O67" s="32"/>
      <c r="P67" s="33" t="str">
        <f t="shared" si="10"/>
        <v/>
      </c>
      <c r="Q67" s="33" t="str">
        <f t="shared" si="11"/>
        <v/>
      </c>
      <c r="R67" s="34"/>
      <c r="S67" s="33" t="str">
        <f t="shared" si="12"/>
        <v/>
      </c>
      <c r="T67" s="13" t="str">
        <f t="shared" si="13"/>
        <v>KOSONG: isi staf, biaya, nilai alat, dan luas lantai</v>
      </c>
    </row>
    <row r="68" spans="1:20" x14ac:dyDescent="0.3">
      <c r="A68" s="35"/>
      <c r="B68" s="35" t="s">
        <v>641</v>
      </c>
      <c r="C68" s="35"/>
      <c r="D68" s="36">
        <f>IFERROR(SUM(D38:D67),"")</f>
        <v>0</v>
      </c>
      <c r="E68" s="36">
        <f>IFERROR(SUM(E38:E67),"")</f>
        <v>0</v>
      </c>
      <c r="F68" s="36">
        <f>IFERROR(SUM(F38:F67),"")</f>
        <v>0</v>
      </c>
      <c r="G68" s="36">
        <f>IFERROR(SUM(G38:G67),"")</f>
        <v>0</v>
      </c>
      <c r="H68" s="35"/>
      <c r="I68" s="36">
        <f t="shared" ref="I68:S68" si="14">IFERROR(SUM(I38:I67),"")</f>
        <v>0</v>
      </c>
      <c r="J68" s="36">
        <f t="shared" si="14"/>
        <v>0</v>
      </c>
      <c r="K68" s="36">
        <f t="shared" si="14"/>
        <v>0</v>
      </c>
      <c r="L68" s="36">
        <f t="shared" si="14"/>
        <v>0</v>
      </c>
      <c r="M68" s="36">
        <f t="shared" si="14"/>
        <v>0</v>
      </c>
      <c r="N68" s="36">
        <f t="shared" si="14"/>
        <v>0</v>
      </c>
      <c r="O68" s="36">
        <f t="shared" si="14"/>
        <v>0</v>
      </c>
      <c r="P68" s="36">
        <f t="shared" si="14"/>
        <v>0</v>
      </c>
      <c r="Q68" s="36">
        <f t="shared" si="14"/>
        <v>0</v>
      </c>
      <c r="R68" s="36">
        <f t="shared" si="14"/>
        <v>0</v>
      </c>
      <c r="S68" s="36">
        <f t="shared" si="14"/>
        <v>0</v>
      </c>
    </row>
    <row r="69" spans="1:20" x14ac:dyDescent="0.3">
      <c r="A69" s="35"/>
      <c r="B69" s="35" t="s">
        <v>642</v>
      </c>
      <c r="C69" s="35"/>
      <c r="D69" s="36">
        <f>IFERROR(D18+D34+D68,"")</f>
        <v>0</v>
      </c>
      <c r="E69" s="35"/>
      <c r="F69" s="35"/>
      <c r="G69" s="35"/>
      <c r="H69" s="35"/>
      <c r="I69" s="35"/>
      <c r="J69" s="36">
        <f t="shared" ref="J69:R69" si="15">IFERROR(J18+J34+J68,"")</f>
        <v>0</v>
      </c>
      <c r="K69" s="36">
        <f t="shared" si="15"/>
        <v>0</v>
      </c>
      <c r="L69" s="36">
        <f t="shared" si="15"/>
        <v>0</v>
      </c>
      <c r="M69" s="36">
        <f t="shared" si="15"/>
        <v>0</v>
      </c>
      <c r="N69" s="36">
        <f t="shared" si="15"/>
        <v>0</v>
      </c>
      <c r="O69" s="36">
        <f t="shared" si="15"/>
        <v>0</v>
      </c>
      <c r="P69" s="36">
        <f t="shared" si="15"/>
        <v>0</v>
      </c>
      <c r="Q69" s="36">
        <f t="shared" si="15"/>
        <v>0</v>
      </c>
      <c r="R69" s="36">
        <f t="shared" si="15"/>
        <v>0</v>
      </c>
      <c r="S69" s="36">
        <f>IFERROR(IF(COUNT(S18,S34,S68)&lt;3,"",SUM(S18,S34,S68)),"")</f>
        <v>0</v>
      </c>
    </row>
    <row r="71" spans="1:20" x14ac:dyDescent="0.3">
      <c r="A71" s="30" t="s">
        <v>643</v>
      </c>
    </row>
    <row r="72" spans="1:20" x14ac:dyDescent="0.3">
      <c r="A72" s="23" t="s">
        <v>644</v>
      </c>
    </row>
    <row r="73" spans="1:20" x14ac:dyDescent="0.3">
      <c r="A73" s="23" t="s">
        <v>645</v>
      </c>
    </row>
    <row r="74" spans="1:20" x14ac:dyDescent="0.3">
      <c r="A74" s="23" t="s">
        <v>646</v>
      </c>
    </row>
    <row r="75" spans="1:20" x14ac:dyDescent="0.3">
      <c r="A75" s="23" t="s">
        <v>647</v>
      </c>
    </row>
    <row r="76" spans="1:20" x14ac:dyDescent="0.3">
      <c r="A76" s="23"/>
    </row>
    <row r="78" spans="1:20" x14ac:dyDescent="0.3">
      <c r="A78" s="24" t="s">
        <v>648</v>
      </c>
      <c r="B78" s="54"/>
      <c r="C78" s="54"/>
      <c r="D78" s="54"/>
      <c r="E78" s="54"/>
      <c r="F78" s="54"/>
      <c r="G78" s="54"/>
      <c r="H78" s="54"/>
      <c r="I78" s="54"/>
      <c r="J78" s="54"/>
      <c r="K78" s="54"/>
      <c r="L78" s="54"/>
      <c r="M78" s="54"/>
      <c r="N78" s="54"/>
      <c r="O78" s="54"/>
      <c r="P78" s="54"/>
      <c r="Q78" s="54"/>
      <c r="R78" s="54"/>
      <c r="S78" s="54"/>
      <c r="T78" s="54"/>
    </row>
    <row r="79" spans="1:20" x14ac:dyDescent="0.3">
      <c r="B79" s="46" t="s">
        <v>649</v>
      </c>
      <c r="C79" s="57" t="s">
        <v>190</v>
      </c>
      <c r="D79" s="57"/>
      <c r="E79" s="57"/>
      <c r="F79" s="57"/>
      <c r="G79" s="57"/>
      <c r="H79" s="57"/>
      <c r="I79" s="57"/>
      <c r="J79" s="57" t="s">
        <v>420</v>
      </c>
      <c r="K79" s="57"/>
      <c r="L79" s="57"/>
      <c r="M79" s="57"/>
      <c r="N79" s="57"/>
      <c r="O79" s="57"/>
      <c r="P79" s="57"/>
      <c r="Q79" s="57"/>
      <c r="R79" s="57"/>
      <c r="S79" s="57"/>
      <c r="T79" s="57"/>
    </row>
    <row r="80" spans="1:20" x14ac:dyDescent="0.3">
      <c r="B80" s="30" t="s">
        <v>650</v>
      </c>
      <c r="C80" s="58" t="s">
        <v>651</v>
      </c>
      <c r="D80" s="58"/>
      <c r="E80" s="58"/>
      <c r="F80" s="58"/>
      <c r="G80" s="58"/>
      <c r="H80" s="58"/>
      <c r="I80" s="58"/>
      <c r="J80" s="58" t="s">
        <v>652</v>
      </c>
      <c r="K80" s="58"/>
      <c r="L80" s="58"/>
      <c r="M80" s="58"/>
      <c r="N80" s="58"/>
      <c r="O80" s="58"/>
      <c r="P80" s="58"/>
      <c r="Q80" s="58"/>
      <c r="R80" s="58"/>
      <c r="S80" s="58"/>
      <c r="T80" s="58"/>
    </row>
    <row r="81" spans="2:20" x14ac:dyDescent="0.3">
      <c r="B81" s="30" t="s">
        <v>653</v>
      </c>
      <c r="C81" s="58" t="s">
        <v>654</v>
      </c>
      <c r="D81" s="58"/>
      <c r="E81" s="58"/>
      <c r="F81" s="58"/>
      <c r="G81" s="58"/>
      <c r="H81" s="58"/>
      <c r="I81" s="58"/>
      <c r="J81" s="58" t="s">
        <v>655</v>
      </c>
      <c r="K81" s="58"/>
      <c r="L81" s="58"/>
      <c r="M81" s="58"/>
      <c r="N81" s="58"/>
      <c r="O81" s="58"/>
      <c r="P81" s="58"/>
      <c r="Q81" s="58"/>
      <c r="R81" s="58"/>
      <c r="S81" s="58"/>
      <c r="T81" s="58"/>
    </row>
    <row r="82" spans="2:20" x14ac:dyDescent="0.3">
      <c r="B82" s="30" t="s">
        <v>656</v>
      </c>
      <c r="C82" s="58" t="s">
        <v>657</v>
      </c>
      <c r="D82" s="58"/>
      <c r="E82" s="58"/>
      <c r="F82" s="58"/>
      <c r="G82" s="58"/>
      <c r="H82" s="58"/>
      <c r="I82" s="58"/>
      <c r="J82" s="58" t="s">
        <v>658</v>
      </c>
      <c r="K82" s="58"/>
      <c r="L82" s="58"/>
      <c r="M82" s="58"/>
      <c r="N82" s="58"/>
      <c r="O82" s="58"/>
      <c r="P82" s="58"/>
      <c r="Q82" s="58"/>
      <c r="R82" s="58"/>
      <c r="S82" s="58"/>
      <c r="T82" s="58"/>
    </row>
    <row r="83" spans="2:20" x14ac:dyDescent="0.3">
      <c r="B83" s="30" t="s">
        <v>659</v>
      </c>
      <c r="C83" s="58" t="s">
        <v>660</v>
      </c>
      <c r="D83" s="58"/>
      <c r="E83" s="58"/>
      <c r="F83" s="58"/>
      <c r="G83" s="58"/>
      <c r="H83" s="58"/>
      <c r="I83" s="58"/>
      <c r="J83" s="58" t="s">
        <v>661</v>
      </c>
      <c r="K83" s="58"/>
      <c r="L83" s="58"/>
      <c r="M83" s="58"/>
      <c r="N83" s="58"/>
      <c r="O83" s="58"/>
      <c r="P83" s="58"/>
      <c r="Q83" s="58"/>
      <c r="R83" s="58"/>
      <c r="S83" s="58"/>
      <c r="T83" s="58"/>
    </row>
    <row r="84" spans="2:20" x14ac:dyDescent="0.3">
      <c r="B84" s="30" t="s">
        <v>662</v>
      </c>
      <c r="C84" s="58" t="s">
        <v>663</v>
      </c>
      <c r="D84" s="58"/>
      <c r="E84" s="58"/>
      <c r="F84" s="58"/>
      <c r="G84" s="58"/>
      <c r="H84" s="58"/>
      <c r="I84" s="58"/>
      <c r="J84" s="58" t="s">
        <v>664</v>
      </c>
      <c r="K84" s="58"/>
      <c r="L84" s="58"/>
      <c r="M84" s="58"/>
      <c r="N84" s="58"/>
      <c r="O84" s="58"/>
      <c r="P84" s="58"/>
      <c r="Q84" s="58"/>
      <c r="R84" s="58"/>
      <c r="S84" s="58"/>
      <c r="T84" s="58"/>
    </row>
    <row r="85" spans="2:20" x14ac:dyDescent="0.3">
      <c r="B85" s="30" t="s">
        <v>665</v>
      </c>
      <c r="C85" s="58" t="s">
        <v>666</v>
      </c>
      <c r="D85" s="58"/>
      <c r="E85" s="58"/>
      <c r="F85" s="58"/>
      <c r="G85" s="58"/>
      <c r="H85" s="58"/>
      <c r="I85" s="58"/>
      <c r="J85" s="58" t="s">
        <v>216</v>
      </c>
      <c r="K85" s="58"/>
      <c r="L85" s="58"/>
      <c r="M85" s="58"/>
      <c r="N85" s="58"/>
      <c r="O85" s="58"/>
      <c r="P85" s="58"/>
      <c r="Q85" s="58"/>
      <c r="R85" s="58"/>
      <c r="S85" s="58"/>
      <c r="T85" s="58"/>
    </row>
    <row r="86" spans="2:20" x14ac:dyDescent="0.3">
      <c r="B86" s="30" t="s">
        <v>667</v>
      </c>
      <c r="C86" s="58" t="s">
        <v>668</v>
      </c>
      <c r="D86" s="58"/>
      <c r="E86" s="58"/>
      <c r="F86" s="58"/>
      <c r="G86" s="58"/>
      <c r="H86" s="58"/>
      <c r="I86" s="58"/>
      <c r="J86" s="58" t="s">
        <v>669</v>
      </c>
      <c r="K86" s="58"/>
      <c r="L86" s="58"/>
      <c r="M86" s="58"/>
      <c r="N86" s="58"/>
      <c r="O86" s="58"/>
      <c r="P86" s="58"/>
      <c r="Q86" s="58"/>
      <c r="R86" s="58"/>
      <c r="S86" s="58"/>
      <c r="T86" s="58"/>
    </row>
    <row r="87" spans="2:20" x14ac:dyDescent="0.3">
      <c r="B87" s="30" t="s">
        <v>670</v>
      </c>
      <c r="C87" s="58" t="s">
        <v>671</v>
      </c>
      <c r="D87" s="58"/>
      <c r="E87" s="58"/>
      <c r="F87" s="58"/>
      <c r="G87" s="58"/>
      <c r="H87" s="58"/>
      <c r="I87" s="58"/>
      <c r="J87" s="58" t="s">
        <v>672</v>
      </c>
      <c r="K87" s="58"/>
      <c r="L87" s="58"/>
      <c r="M87" s="58"/>
      <c r="N87" s="58"/>
      <c r="O87" s="58"/>
      <c r="P87" s="58"/>
      <c r="Q87" s="58"/>
      <c r="R87" s="58"/>
      <c r="S87" s="58"/>
      <c r="T87" s="58"/>
    </row>
    <row r="88" spans="2:20" x14ac:dyDescent="0.3">
      <c r="B88" s="30" t="s">
        <v>673</v>
      </c>
      <c r="C88" s="58" t="s">
        <v>674</v>
      </c>
      <c r="D88" s="58"/>
      <c r="E88" s="58"/>
      <c r="F88" s="58"/>
      <c r="G88" s="58"/>
      <c r="H88" s="58"/>
      <c r="I88" s="58"/>
      <c r="J88" s="58" t="s">
        <v>675</v>
      </c>
      <c r="K88" s="58"/>
      <c r="L88" s="58"/>
      <c r="M88" s="58"/>
      <c r="N88" s="58"/>
      <c r="O88" s="58"/>
      <c r="P88" s="58"/>
      <c r="Q88" s="58"/>
      <c r="R88" s="58"/>
      <c r="S88" s="58"/>
      <c r="T88" s="58"/>
    </row>
    <row r="89" spans="2:20" x14ac:dyDescent="0.3">
      <c r="B89" s="30" t="s">
        <v>676</v>
      </c>
      <c r="C89" s="58" t="s">
        <v>677</v>
      </c>
      <c r="D89" s="58"/>
      <c r="E89" s="58"/>
      <c r="F89" s="58"/>
      <c r="G89" s="58"/>
      <c r="H89" s="58"/>
      <c r="I89" s="58"/>
      <c r="J89" s="58" t="s">
        <v>678</v>
      </c>
      <c r="K89" s="58"/>
      <c r="L89" s="58"/>
      <c r="M89" s="58"/>
      <c r="N89" s="58"/>
      <c r="O89" s="58"/>
      <c r="P89" s="58"/>
      <c r="Q89" s="58"/>
      <c r="R89" s="58"/>
      <c r="S89" s="58"/>
      <c r="T89" s="58"/>
    </row>
    <row r="90" spans="2:20" x14ac:dyDescent="0.3">
      <c r="B90" s="30" t="s">
        <v>679</v>
      </c>
      <c r="C90" s="58" t="s">
        <v>680</v>
      </c>
      <c r="D90" s="58"/>
      <c r="E90" s="58"/>
      <c r="F90" s="58"/>
      <c r="G90" s="58"/>
      <c r="H90" s="58"/>
      <c r="I90" s="58"/>
      <c r="J90" s="58" t="s">
        <v>681</v>
      </c>
      <c r="K90" s="58"/>
      <c r="L90" s="58"/>
      <c r="M90" s="58"/>
      <c r="N90" s="58"/>
      <c r="O90" s="58"/>
      <c r="P90" s="58"/>
      <c r="Q90" s="58"/>
      <c r="R90" s="58"/>
      <c r="S90" s="58"/>
      <c r="T90" s="58"/>
    </row>
    <row r="91" spans="2:20" x14ac:dyDescent="0.3">
      <c r="B91" s="30" t="s">
        <v>682</v>
      </c>
      <c r="C91" s="58" t="s">
        <v>683</v>
      </c>
      <c r="D91" s="58"/>
      <c r="E91" s="58"/>
      <c r="F91" s="58"/>
      <c r="G91" s="58"/>
      <c r="H91" s="58"/>
      <c r="I91" s="58"/>
      <c r="J91" s="58" t="s">
        <v>684</v>
      </c>
      <c r="K91" s="58"/>
      <c r="L91" s="58"/>
      <c r="M91" s="58"/>
      <c r="N91" s="58"/>
      <c r="O91" s="58"/>
      <c r="P91" s="58"/>
      <c r="Q91" s="58"/>
      <c r="R91" s="58"/>
      <c r="S91" s="58"/>
      <c r="T91" s="58"/>
    </row>
    <row r="92" spans="2:20" x14ac:dyDescent="0.3">
      <c r="B92" s="30" t="s">
        <v>685</v>
      </c>
      <c r="C92" s="58" t="s">
        <v>686</v>
      </c>
      <c r="D92" s="58"/>
      <c r="E92" s="58"/>
      <c r="F92" s="58"/>
      <c r="G92" s="58"/>
      <c r="H92" s="58"/>
      <c r="I92" s="58"/>
      <c r="J92" s="58" t="s">
        <v>687</v>
      </c>
      <c r="K92" s="58"/>
      <c r="L92" s="58"/>
      <c r="M92" s="58"/>
      <c r="N92" s="58"/>
      <c r="O92" s="58"/>
      <c r="P92" s="58"/>
      <c r="Q92" s="58"/>
      <c r="R92" s="58"/>
      <c r="S92" s="58"/>
      <c r="T92" s="58"/>
    </row>
    <row r="93" spans="2:20" x14ac:dyDescent="0.3">
      <c r="B93" s="30" t="s">
        <v>688</v>
      </c>
      <c r="C93" s="58" t="s">
        <v>689</v>
      </c>
      <c r="D93" s="58"/>
      <c r="E93" s="58"/>
      <c r="F93" s="58"/>
      <c r="G93" s="58"/>
      <c r="H93" s="58"/>
      <c r="I93" s="58"/>
      <c r="J93" s="58" t="s">
        <v>690</v>
      </c>
      <c r="K93" s="58"/>
      <c r="L93" s="58"/>
      <c r="M93" s="58"/>
      <c r="N93" s="58"/>
      <c r="O93" s="58"/>
      <c r="P93" s="58"/>
      <c r="Q93" s="58"/>
      <c r="R93" s="58"/>
      <c r="S93" s="58"/>
      <c r="T93" s="58"/>
    </row>
    <row r="94" spans="2:20" x14ac:dyDescent="0.3">
      <c r="B94" s="30" t="s">
        <v>691</v>
      </c>
      <c r="C94" s="58" t="s">
        <v>692</v>
      </c>
      <c r="D94" s="58"/>
      <c r="E94" s="58"/>
      <c r="F94" s="58"/>
      <c r="G94" s="58"/>
      <c r="H94" s="58"/>
      <c r="I94" s="58"/>
      <c r="J94" s="58" t="s">
        <v>693</v>
      </c>
      <c r="K94" s="58"/>
      <c r="L94" s="58"/>
      <c r="M94" s="58"/>
      <c r="N94" s="58"/>
      <c r="O94" s="58"/>
      <c r="P94" s="58"/>
      <c r="Q94" s="58"/>
      <c r="R94" s="58"/>
      <c r="S94" s="58"/>
      <c r="T94" s="58"/>
    </row>
    <row r="95" spans="2:20" x14ac:dyDescent="0.3">
      <c r="B95" s="30" t="s">
        <v>694</v>
      </c>
      <c r="C95" s="58" t="s">
        <v>695</v>
      </c>
      <c r="D95" s="58"/>
      <c r="E95" s="58"/>
      <c r="F95" s="58"/>
      <c r="G95" s="58"/>
      <c r="H95" s="58"/>
      <c r="I95" s="58"/>
      <c r="J95" s="58" t="s">
        <v>696</v>
      </c>
      <c r="K95" s="58"/>
      <c r="L95" s="58"/>
      <c r="M95" s="58"/>
      <c r="N95" s="58"/>
      <c r="O95" s="58"/>
      <c r="P95" s="58"/>
      <c r="Q95" s="58"/>
      <c r="R95" s="58"/>
      <c r="S95" s="58"/>
      <c r="T95" s="58"/>
    </row>
    <row r="96" spans="2:20" x14ac:dyDescent="0.3">
      <c r="B96" s="30" t="s">
        <v>697</v>
      </c>
      <c r="C96" s="58" t="s">
        <v>698</v>
      </c>
      <c r="D96" s="58"/>
      <c r="E96" s="58"/>
      <c r="F96" s="58"/>
      <c r="G96" s="58"/>
      <c r="H96" s="58"/>
      <c r="I96" s="58"/>
      <c r="J96" s="58" t="s">
        <v>699</v>
      </c>
      <c r="K96" s="58"/>
      <c r="L96" s="58"/>
      <c r="M96" s="58"/>
      <c r="N96" s="58"/>
      <c r="O96" s="58"/>
      <c r="P96" s="58"/>
      <c r="Q96" s="58"/>
      <c r="R96" s="58"/>
      <c r="S96" s="58"/>
      <c r="T96" s="58"/>
    </row>
  </sheetData>
  <mergeCells count="36">
    <mergeCell ref="C94:I94"/>
    <mergeCell ref="J94:T94"/>
    <mergeCell ref="C95:I95"/>
    <mergeCell ref="J95:T95"/>
    <mergeCell ref="C96:I96"/>
    <mergeCell ref="J96:T96"/>
    <mergeCell ref="C91:I91"/>
    <mergeCell ref="J91:T91"/>
    <mergeCell ref="C92:I92"/>
    <mergeCell ref="J92:T92"/>
    <mergeCell ref="C93:I93"/>
    <mergeCell ref="J93:T93"/>
    <mergeCell ref="C88:I88"/>
    <mergeCell ref="J88:T88"/>
    <mergeCell ref="C89:I89"/>
    <mergeCell ref="J89:T89"/>
    <mergeCell ref="C90:I90"/>
    <mergeCell ref="J90:T90"/>
    <mergeCell ref="C85:I85"/>
    <mergeCell ref="J85:T85"/>
    <mergeCell ref="C86:I86"/>
    <mergeCell ref="J86:T86"/>
    <mergeCell ref="C87:I87"/>
    <mergeCell ref="J87:T87"/>
    <mergeCell ref="C82:I82"/>
    <mergeCell ref="J82:T82"/>
    <mergeCell ref="C83:I83"/>
    <mergeCell ref="J83:T83"/>
    <mergeCell ref="C84:I84"/>
    <mergeCell ref="J84:T84"/>
    <mergeCell ref="C79:I79"/>
    <mergeCell ref="J79:T79"/>
    <mergeCell ref="C80:I80"/>
    <mergeCell ref="J80:T80"/>
    <mergeCell ref="C81:I81"/>
    <mergeCell ref="J81:T81"/>
  </mergeCells>
  <conditionalFormatting sqref="T2">
    <cfRule type="expression" dxfId="11" priority="2">
      <formula>LEFT(T2,2)="OK"</formula>
    </cfRule>
    <cfRule type="expression" dxfId="10" priority="3">
      <formula>LEFT(T2,3)="CEK"</formula>
    </cfRule>
    <cfRule type="expression" dxfId="9" priority="4">
      <formula>OR(LEFT(T2,6)="KOSONG",LEFT(T2,5)="BELUM",LEFT(T2,6)="Menung")</formula>
    </cfRule>
  </conditionalFormatting>
  <conditionalFormatting sqref="T6:T17">
    <cfRule type="expression" dxfId="8" priority="5">
      <formula>LEFT(T6,2)="OK"</formula>
    </cfRule>
    <cfRule type="expression" dxfId="7" priority="6">
      <formula>LEFT(T6,3)="CEK"</formula>
    </cfRule>
    <cfRule type="expression" dxfId="6" priority="7">
      <formula>OR(LEFT(T6,6)="KOSONG",LEFT(T6,5)="BELUM",LEFT(T6,6)="Menung")</formula>
    </cfRule>
  </conditionalFormatting>
  <conditionalFormatting sqref="T22:T33">
    <cfRule type="expression" dxfId="5" priority="8">
      <formula>LEFT(T22,2)="OK"</formula>
    </cfRule>
    <cfRule type="expression" dxfId="4" priority="9">
      <formula>LEFT(T22,3)="CEK"</formula>
    </cfRule>
    <cfRule type="expression" dxfId="3" priority="10">
      <formula>OR(LEFT(T22,6)="KOSONG",LEFT(T22,5)="BELUM",LEFT(T22,6)="Menung")</formula>
    </cfRule>
  </conditionalFormatting>
  <conditionalFormatting sqref="T38:T67">
    <cfRule type="expression" dxfId="2" priority="11">
      <formula>LEFT(T38,2)="OK"</formula>
    </cfRule>
    <cfRule type="expression" dxfId="1" priority="12">
      <formula>LEFT(T38,3)="CEK"</formula>
    </cfRule>
    <cfRule type="expression" dxfId="0" priority="13">
      <formula>OR(LEFT(T38,6)="KOSONG",LEFT(T38,5)="BELUM",LEFT(T38,6)="Menung")</formula>
    </cfRule>
  </conditionalFormatting>
  <dataValidations count="14">
    <dataValidation type="whole" allowBlank="1" showInputMessage="1" showErrorMessage="1" errorTitle="Tahun tidak valid" error="Isi tahun 4 digit, contoh 2025." promptTitle="Tahun Data" prompt="Isi tahun 4 digit. Harus sama dengan Data Dasar RS B5." sqref="B2" xr:uid="{00000000-0002-0000-0400-000000000000}">
      <formula1>2000</formula1>
      <formula2>2100</formula2>
    </dataValidation>
    <dataValidation type="list" allowBlank="1" showInputMessage="1" showErrorMessage="1" errorTitle="Tipe RS tidak valid" error="Pilih A, B, C, atau D." promptTitle="Tipe RS" prompt="Pilih A, B, C, atau D. Harus sama dengan Data Dasar RS B3." sqref="K2" xr:uid="{00000000-0002-0000-0400-000001000000}">
      <formula1>"A,B,C,D"</formula1>
      <formula2>0</formula2>
    </dataValidation>
    <dataValidation type="list" allowBlank="1" showInputMessage="1" showErrorMessage="1" errorTitle="Kepemilikan tidak valid" error="Pilih salah satu dari daftar." promptTitle="Kepemilikan" prompt="Pilih dari daftar. Harus sama dengan Data Dasar RS B4." sqref="N2" xr:uid="{00000000-0002-0000-0400-000002000000}">
      <formula1>"Pemerintah Pusat,Pemerintah Daerah,Swasta,TNI/Polri,BUMN"</formula1>
      <formula2>0</formula2>
    </dataValidation>
    <dataValidation type="list" allowBlank="1" showInputMessage="1" showErrorMessage="1" errorTitle="Dasar alokasi tidak valid" error="Pilih salah satu dari daftar. Jangan mengetik sendiri." promptTitle="Dasar Alokasi" prompt="Pilih dari daftar. Ukuran yang dipakai untuk membagi biaya unit ini. Nilai bawaan sudah sesuai, ubah hanya bila perlu." sqref="C6:C17 C38:C67" xr:uid="{00000000-0002-0000-0400-000003000000}">
      <formula1>"jumlah_staf,luas_lantai,jumlah_kunjungan,jumlah_pasien,hari_rawat"</formula1>
      <formula2>0</formula2>
    </dataValidation>
    <dataValidation type="list" allowBlank="1" showInputMessage="1" showErrorMessage="1" errorTitle="Dasar alokasi tidak valid" error="Pilih salah satu dari daftar. Jangan mengetik sendiri." promptTitle="Dasar Alokasi" prompt="Pilih dari daftar. Ukuran yang dipakai untuk membagi biaya unit ini. Nilai bawaan sudah sesuai, ubah hanya bila perlu." sqref="C22:C33" xr:uid="{00000000-0002-0000-0400-000004000000}">
      <formula1>"resep_ddd,jumlah_pemeriksaan,jumlah_test,jumlah_terapi,jumlah_pasien,jam_operasi,hari_rawat,jumlah_tindakan,penggunaan,kantong_darah,jaringan"</formula1>
      <formula2>0</formula2>
    </dataValidation>
    <dataValidation type="whole" operator="greaterThanOrEqual" allowBlank="1" showInputMessage="1" showErrorMessage="1" errorTitle="Jumlah staf tidak valid" error="Isi bilangan bulat 0 atau lebih (jumlah orang). Tanpa titik, koma, atau desimal." promptTitle="Jumlah Staf (orang)" prompt="Jumlah orang yang bertugas di unit pada 31 Des. Satu orang hanya dihitung di satu unit. Isi 0 bila tidak ada." sqref="D6:D17 D22:D33 D38:D67" xr:uid="{00000000-0002-0000-0400-000005000000}">
      <formula1>0</formula1>
      <formula2>0</formula2>
    </dataValidation>
    <dataValidation type="decimal" operator="greaterThanOrEqual" allowBlank="1" showInputMessage="1" showErrorMessage="1" errorTitle="Angka tidak valid" error="Isi angka 0 atau lebih, Rupiah penuh, tanpa titik, koma, huruf, atau Rp." promptTitle="Biaya Gaji (Rp)" prompt="Gaji pokok dan tunjangan pegawai unit ini selama setahun. Tidak termasuk jasa pelayanan. Rupiah penuh tanpa titik/koma. Isi 0 bila tidak ada." sqref="J6:J17 J22:J33 J38:J67" xr:uid="{00000000-0002-0000-0400-000006000000}">
      <formula1>0</formula1>
      <formula2>0</formula2>
    </dataValidation>
    <dataValidation type="decimal" operator="greaterThanOrEqual" allowBlank="1" showInputMessage="1" showErrorMessage="1" errorTitle="Angka tidak valid" error="Isi angka 0 atau lebih, Rupiah penuh, tanpa titik, koma, huruf, atau Rp." promptTitle="Biaya Jasa Medis (Rp)" prompt="Jasa pelayanan dokter di unit ini selama setahun. Rupiah penuh tanpa titik/koma. Isi 0 bila tidak ada." sqref="K6:K17 K22:K33 K38:K67" xr:uid="{00000000-0002-0000-0400-000007000000}">
      <formula1>0</formula1>
      <formula2>0</formula2>
    </dataValidation>
    <dataValidation type="decimal" operator="greaterThanOrEqual" allowBlank="1" showInputMessage="1" showErrorMessage="1" errorTitle="Angka tidak valid" error="Isi angka 0 atau lebih, Rupiah penuh, tanpa titik, koma, huruf, atau Rp." promptTitle="Jasa Medis Lain (Rp)" prompt="Jasa pelayanan perawat dan staf lain di unit ini selama setahun. Rupiah penuh tanpa titik/koma. Isi 0 bila tidak ada." sqref="L6:L17 L22:L33 L38:L67" xr:uid="{00000000-0002-0000-0400-000008000000}">
      <formula1>0</formula1>
      <formula2>0</formula2>
    </dataValidation>
    <dataValidation type="decimal" operator="greaterThanOrEqual" allowBlank="1" showInputMessage="1" showErrorMessage="1" errorTitle="Angka tidak valid" error="Isi angka 0 atau lebih, Rupiah penuh, tanpa titik, koma, huruf, atau Rp." promptTitle="Biaya Operasional (Rp)" prompt="Biaya habis pakai, listrik, pemeliharaan, dan lain-lain. TIDAK termasuk penyusutan. Rupiah penuh tanpa titik/koma. Isi 0 bila tidak ada." sqref="M6:M17 M22:M33 M38:M67" xr:uid="{00000000-0002-0000-0400-000009000000}">
      <formula1>0</formula1>
      <formula2>0</formula2>
    </dataValidation>
    <dataValidation type="decimal" operator="greaterThanOrEqual" allowBlank="1" showInputMessage="1" showErrorMessage="1" errorTitle="Angka tidak valid" error="Isi angka 0 atau lebih, Rupiah penuh, tanpa titik, koma, huruf, atau Rp." promptTitle="Nilai Alat (Rp)" prompt="NILAI PEROLEHAN alat di unit ini (harga beli awal), bukan nilai buku. Penyusutan otomatis ÷ 5 tahun. Rupiah penuh tanpa titik/koma. Isi 0 bila tidak ada." sqref="N6:N17 N22:N33 N38:N67" xr:uid="{00000000-0002-0000-0400-00000A000000}">
      <formula1>0</formula1>
      <formula2>0</formula2>
    </dataValidation>
    <dataValidation type="decimal" operator="greaterThanOrEqual" allowBlank="1" showInputMessage="1" showErrorMessage="1" errorTitle="Angka tidak valid" error="Isi angka 0 atau lebih, Rupiah penuh, tanpa titik, koma, huruf, atau Rp." promptTitle="Investasi Gedung (Rp)" prompt="NILAI PEROLEHAN gedung unit ini, bukan nilai buku. Penyusutan otomatis ÷ 40 tahun. Rupiah penuh tanpa titik/koma. Isi 0 bila tidak ada." sqref="O6:O17 O22:O33 O38:O67" xr:uid="{00000000-0002-0000-0400-00000B000000}">
      <formula1>0</formula1>
      <formula2>0</formula2>
    </dataValidation>
    <dataValidation type="decimal" operator="greaterThanOrEqual" allowBlank="1" showInputMessage="1" showErrorMessage="1" errorTitle="Luas tidak valid" error="Isi angka 0 atau lebih (meter persegi), tanpa huruf." promptTitle="Luas Lantai (m²)" prompt="Luas bangunan yang dipakai unit, dalam meter persegi. Isi untuk semua unit. Isi 0 bila tidak ada." sqref="R6:R17 R22:R33 R38:R67" xr:uid="{00000000-0002-0000-0400-00000C000000}">
      <formula1>0</formula1>
      <formula2>0</formula2>
    </dataValidation>
    <dataValidation type="whole" operator="greaterThanOrEqual" allowBlank="1" showInputMessage="1" showErrorMessage="1" errorTitle="Angka tidak valid" error="Isi bilangan bulat 0 atau lebih (jumlah tempat tidur)." promptTitle="Jml Tempat Tidur" prompt="Jumlah tempat tidur kelas ini. Harus sama dengan Data Operasional kolom J (baris 2–6)." sqref="I38:I42" xr:uid="{00000000-0002-0000-0400-00000D000000}">
      <formula1>0</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283"/>
  <sheetViews>
    <sheetView tabSelected="1" zoomScale="85" zoomScaleNormal="85" workbookViewId="0">
      <pane ySplit="2" topLeftCell="A3" activePane="bottomLeft" state="frozen"/>
      <selection pane="bottomLeft" activeCell="H279" sqref="H279"/>
    </sheetView>
  </sheetViews>
  <sheetFormatPr defaultColWidth="8.6640625" defaultRowHeight="14.4" x14ac:dyDescent="0.3"/>
  <cols>
    <col min="1" max="1" width="6" customWidth="1"/>
    <col min="2" max="2" width="52" customWidth="1"/>
    <col min="3" max="16" width="19" customWidth="1"/>
  </cols>
  <sheetData>
    <row r="1" spans="1:16" x14ac:dyDescent="0.3">
      <c r="A1" s="26" t="s">
        <v>700</v>
      </c>
      <c r="B1" s="26"/>
      <c r="C1" s="26"/>
      <c r="D1" s="26"/>
      <c r="E1" s="26"/>
      <c r="F1" s="26"/>
      <c r="G1" s="26"/>
      <c r="H1" s="26"/>
      <c r="I1" s="26"/>
      <c r="J1" s="26"/>
      <c r="K1" s="26"/>
      <c r="L1" s="26"/>
      <c r="M1" s="26"/>
      <c r="N1" s="26"/>
      <c r="O1" s="26"/>
      <c r="P1" s="26"/>
    </row>
    <row r="2" spans="1:16" x14ac:dyDescent="0.3">
      <c r="A2" s="23" t="s">
        <v>701</v>
      </c>
    </row>
    <row r="4" spans="1:16" x14ac:dyDescent="0.3">
      <c r="A4" s="39" t="s">
        <v>702</v>
      </c>
      <c r="B4" s="39"/>
      <c r="C4" s="39"/>
      <c r="D4" s="39"/>
      <c r="E4" s="39"/>
      <c r="F4" s="39"/>
      <c r="G4" s="39"/>
      <c r="H4" s="39"/>
      <c r="I4" s="39"/>
      <c r="J4" s="39"/>
      <c r="K4" s="39"/>
      <c r="L4" s="39"/>
      <c r="M4" s="39"/>
      <c r="N4" s="39"/>
      <c r="O4" s="39"/>
      <c r="P4" s="39"/>
    </row>
    <row r="5" spans="1:16" x14ac:dyDescent="0.3">
      <c r="A5" s="30" t="s">
        <v>703</v>
      </c>
      <c r="B5" s="28" t="s">
        <v>704</v>
      </c>
    </row>
    <row r="6" spans="1:16" x14ac:dyDescent="0.3">
      <c r="A6" s="30" t="s">
        <v>705</v>
      </c>
      <c r="B6" s="28" t="s">
        <v>706</v>
      </c>
    </row>
    <row r="7" spans="1:16" x14ac:dyDescent="0.3">
      <c r="A7" s="30" t="s">
        <v>707</v>
      </c>
      <c r="B7" s="28" t="s">
        <v>708</v>
      </c>
    </row>
    <row r="8" spans="1:16" x14ac:dyDescent="0.3">
      <c r="A8" s="30" t="s">
        <v>709</v>
      </c>
      <c r="B8" s="28" t="s">
        <v>710</v>
      </c>
    </row>
    <row r="9" spans="1:16" x14ac:dyDescent="0.3">
      <c r="A9" s="30" t="s">
        <v>711</v>
      </c>
      <c r="B9" s="28" t="s">
        <v>712</v>
      </c>
    </row>
    <row r="10" spans="1:16" x14ac:dyDescent="0.3">
      <c r="A10" s="30" t="s">
        <v>713</v>
      </c>
      <c r="B10" s="28" t="s">
        <v>714</v>
      </c>
    </row>
    <row r="12" spans="1:16" x14ac:dyDescent="0.3">
      <c r="A12" s="39" t="s">
        <v>715</v>
      </c>
      <c r="B12" s="39"/>
      <c r="C12" s="39"/>
      <c r="D12" s="39"/>
      <c r="E12" s="39"/>
      <c r="F12" s="39"/>
      <c r="G12" s="39"/>
      <c r="H12" s="39"/>
      <c r="I12" s="39"/>
      <c r="J12" s="39"/>
      <c r="K12" s="39"/>
      <c r="L12" s="39"/>
      <c r="M12" s="39"/>
      <c r="N12" s="39"/>
      <c r="O12" s="39"/>
      <c r="P12" s="39"/>
    </row>
    <row r="13" spans="1:16" x14ac:dyDescent="0.3">
      <c r="B13" s="28" t="s">
        <v>716</v>
      </c>
      <c r="C13" s="33" t="str">
        <f>IFERROR(D229,"")</f>
        <v/>
      </c>
      <c r="D13" s="23" t="s">
        <v>717</v>
      </c>
    </row>
    <row r="14" spans="1:16" x14ac:dyDescent="0.3">
      <c r="B14" s="28" t="s">
        <v>718</v>
      </c>
      <c r="C14" s="33">
        <f>IFERROR(E229,"")</f>
        <v>0</v>
      </c>
      <c r="D14" s="23" t="s">
        <v>719</v>
      </c>
    </row>
    <row r="15" spans="1:16" x14ac:dyDescent="0.3">
      <c r="B15" s="28" t="s">
        <v>720</v>
      </c>
      <c r="C15" s="33">
        <f>IFERROR(F229,"")</f>
        <v>0</v>
      </c>
      <c r="D15" s="23" t="s">
        <v>721</v>
      </c>
    </row>
    <row r="16" spans="1:16" x14ac:dyDescent="0.3">
      <c r="B16" s="28" t="s">
        <v>722</v>
      </c>
      <c r="C16" s="33" t="str">
        <f>IFERROR(C13+C14+C15,"")</f>
        <v/>
      </c>
      <c r="D16" s="23" t="s">
        <v>723</v>
      </c>
    </row>
    <row r="17" spans="1:16" x14ac:dyDescent="0.3">
      <c r="B17" s="28" t="s">
        <v>724</v>
      </c>
      <c r="C17" s="33">
        <f>IFERROR(H229,"")</f>
        <v>0</v>
      </c>
      <c r="D17" s="23" t="s">
        <v>725</v>
      </c>
    </row>
    <row r="18" spans="1:16" x14ac:dyDescent="0.3">
      <c r="B18" s="30" t="s">
        <v>726</v>
      </c>
      <c r="C18" s="36" t="str">
        <f>IFERROR(C16/C17,"")</f>
        <v/>
      </c>
      <c r="D18" s="23" t="s">
        <v>727</v>
      </c>
    </row>
    <row r="19" spans="1:16" x14ac:dyDescent="0.3">
      <c r="B19" s="28" t="s">
        <v>728</v>
      </c>
      <c r="C19" s="33" t="str">
        <f>IFERROR(J229&amp;" sampai "&amp;K229,"")</f>
        <v xml:space="preserve"> sampai </v>
      </c>
      <c r="D19" s="23" t="s">
        <v>729</v>
      </c>
    </row>
    <row r="20" spans="1:16" x14ac:dyDescent="0.3">
      <c r="B20" s="28" t="s">
        <v>587</v>
      </c>
      <c r="C20" s="33" t="str">
        <f>IFERROR(L229,"")</f>
        <v>-</v>
      </c>
      <c r="D20" s="23"/>
    </row>
    <row r="24" spans="1:16" x14ac:dyDescent="0.3">
      <c r="A24" s="39" t="s">
        <v>730</v>
      </c>
      <c r="B24" s="39"/>
      <c r="C24" s="39"/>
      <c r="D24" s="39"/>
      <c r="E24" s="39"/>
      <c r="F24" s="39"/>
      <c r="G24" s="39"/>
      <c r="H24" s="39"/>
      <c r="I24" s="39"/>
      <c r="J24" s="39"/>
      <c r="K24" s="39"/>
      <c r="L24" s="39"/>
      <c r="M24" s="39"/>
      <c r="N24" s="39"/>
      <c r="O24" s="39"/>
      <c r="P24" s="39"/>
    </row>
    <row r="25" spans="1:16" x14ac:dyDescent="0.3">
      <c r="A25" s="40" t="s">
        <v>600</v>
      </c>
      <c r="B25" s="40" t="s">
        <v>731</v>
      </c>
      <c r="C25" s="40" t="s">
        <v>732</v>
      </c>
      <c r="D25" s="40" t="s">
        <v>733</v>
      </c>
      <c r="E25" s="40" t="s">
        <v>734</v>
      </c>
      <c r="F25" s="40" t="s">
        <v>735</v>
      </c>
    </row>
    <row r="26" spans="1:16" x14ac:dyDescent="0.3">
      <c r="A26" s="28">
        <v>1</v>
      </c>
      <c r="B26" s="41" t="str">
        <f>IFERROR('Costing Template'!B6,"")</f>
        <v>Manajemen &amp; Administrasi</v>
      </c>
      <c r="C26" s="41" t="str">
        <f>IFERROR('Costing Template'!C6,"")</f>
        <v>jumlah_staf</v>
      </c>
      <c r="D26" s="33" t="str">
        <f>IFERROR('Costing Template'!S6,"")</f>
        <v/>
      </c>
      <c r="E26" s="33">
        <f>IFERROR('Costing Template'!D6,"")</f>
        <v>0</v>
      </c>
      <c r="F26" s="33">
        <f>IFERROR('Costing Template'!R6,"")</f>
        <v>0</v>
      </c>
    </row>
    <row r="27" spans="1:16" x14ac:dyDescent="0.3">
      <c r="A27" s="28">
        <v>2</v>
      </c>
      <c r="B27" s="41" t="str">
        <f>IFERROR('Costing Template'!B7,"")</f>
        <v>Komite &amp; Pengawasan</v>
      </c>
      <c r="C27" s="41" t="str">
        <f>IFERROR('Costing Template'!C7,"")</f>
        <v>jumlah_staf</v>
      </c>
      <c r="D27" s="33" t="str">
        <f>IFERROR('Costing Template'!S7,"")</f>
        <v/>
      </c>
      <c r="E27" s="33">
        <f>IFERROR('Costing Template'!D7,"")</f>
        <v>0</v>
      </c>
      <c r="F27" s="33">
        <f>IFERROR('Costing Template'!R7,"")</f>
        <v>0</v>
      </c>
    </row>
    <row r="28" spans="1:16" x14ac:dyDescent="0.3">
      <c r="A28" s="28">
        <v>3</v>
      </c>
      <c r="B28" s="41" t="str">
        <f>IFERROR('Costing Template'!B8,"")</f>
        <v>Teknologi Informasi</v>
      </c>
      <c r="C28" s="41" t="str">
        <f>IFERROR('Costing Template'!C8,"")</f>
        <v>jumlah_staf</v>
      </c>
      <c r="D28" s="33" t="str">
        <f>IFERROR('Costing Template'!S8,"")</f>
        <v/>
      </c>
      <c r="E28" s="33">
        <f>IFERROR('Costing Template'!D8,"")</f>
        <v>0</v>
      </c>
      <c r="F28" s="33">
        <f>IFERROR('Costing Template'!R8,"")</f>
        <v>0</v>
      </c>
    </row>
    <row r="29" spans="1:16" x14ac:dyDescent="0.3">
      <c r="A29" s="28">
        <v>4</v>
      </c>
      <c r="B29" s="41" t="str">
        <f>IFERROR('Costing Template'!B9,"")</f>
        <v>Pendidikan &amp; Penelitian</v>
      </c>
      <c r="C29" s="41" t="str">
        <f>IFERROR('Costing Template'!C9,"")</f>
        <v>jumlah_staf</v>
      </c>
      <c r="D29" s="33" t="str">
        <f>IFERROR('Costing Template'!S9,"")</f>
        <v/>
      </c>
      <c r="E29" s="33">
        <f>IFERROR('Costing Template'!D9,"")</f>
        <v>0</v>
      </c>
      <c r="F29" s="33">
        <f>IFERROR('Costing Template'!R9,"")</f>
        <v>0</v>
      </c>
    </row>
    <row r="30" spans="1:16" x14ac:dyDescent="0.3">
      <c r="A30" s="28">
        <v>5</v>
      </c>
      <c r="B30" s="41" t="str">
        <f>IFERROR('Costing Template'!B10,"")</f>
        <v>Keamanan &amp; Keselamatan</v>
      </c>
      <c r="C30" s="41" t="str">
        <f>IFERROR('Costing Template'!C10,"")</f>
        <v>luas_lantai</v>
      </c>
      <c r="D30" s="33" t="str">
        <f>IFERROR('Costing Template'!S10,"")</f>
        <v/>
      </c>
      <c r="E30" s="33">
        <f>IFERROR('Costing Template'!D10,"")</f>
        <v>0</v>
      </c>
      <c r="F30" s="33">
        <f>IFERROR('Costing Template'!R10,"")</f>
        <v>0</v>
      </c>
    </row>
    <row r="31" spans="1:16" x14ac:dyDescent="0.3">
      <c r="A31" s="28">
        <v>6</v>
      </c>
      <c r="B31" s="41" t="str">
        <f>IFERROR('Costing Template'!B11,"")</f>
        <v>Cleaning Services</v>
      </c>
      <c r="C31" s="41" t="str">
        <f>IFERROR('Costing Template'!C11,"")</f>
        <v>luas_lantai</v>
      </c>
      <c r="D31" s="33" t="str">
        <f>IFERROR('Costing Template'!S11,"")</f>
        <v/>
      </c>
      <c r="E31" s="33">
        <f>IFERROR('Costing Template'!D11,"")</f>
        <v>0</v>
      </c>
      <c r="F31" s="33">
        <f>IFERROR('Costing Template'!R11,"")</f>
        <v>0</v>
      </c>
    </row>
    <row r="32" spans="1:16" x14ac:dyDescent="0.3">
      <c r="A32" s="28">
        <v>7</v>
      </c>
      <c r="B32" s="41" t="str">
        <f>IFERROR('Costing Template'!B12,"")</f>
        <v>Customer Service / Front Office</v>
      </c>
      <c r="C32" s="41" t="str">
        <f>IFERROR('Costing Template'!C12,"")</f>
        <v>jumlah_pasien</v>
      </c>
      <c r="D32" s="33" t="str">
        <f>IFERROR('Costing Template'!S12,"")</f>
        <v/>
      </c>
      <c r="E32" s="33">
        <f>IFERROR('Costing Template'!D12,"")</f>
        <v>0</v>
      </c>
      <c r="F32" s="33">
        <f>IFERROR('Costing Template'!R12,"")</f>
        <v>0</v>
      </c>
    </row>
    <row r="33" spans="1:16" x14ac:dyDescent="0.3">
      <c r="A33" s="28">
        <v>8</v>
      </c>
      <c r="B33" s="41" t="str">
        <f>IFERROR('Costing Template'!B13,"")</f>
        <v>Bahan Habis Pakai - Non Medis</v>
      </c>
      <c r="C33" s="41" t="str">
        <f>IFERROR('Costing Template'!C13,"")</f>
        <v>jumlah_staf</v>
      </c>
      <c r="D33" s="33" t="str">
        <f>IFERROR('Costing Template'!S13,"")</f>
        <v/>
      </c>
      <c r="E33" s="33">
        <f>IFERROR('Costing Template'!D13,"")</f>
        <v>0</v>
      </c>
      <c r="F33" s="33">
        <f>IFERROR('Costing Template'!R13,"")</f>
        <v>0</v>
      </c>
    </row>
    <row r="34" spans="1:16" x14ac:dyDescent="0.3">
      <c r="A34" s="28">
        <v>9</v>
      </c>
      <c r="B34" s="41" t="str">
        <f>IFERROR('Costing Template'!B14,"")</f>
        <v>Fasilitas (Listrik, Air, Telepon, Internet)</v>
      </c>
      <c r="C34" s="41" t="str">
        <f>IFERROR('Costing Template'!C14,"")</f>
        <v>luas_lantai</v>
      </c>
      <c r="D34" s="33" t="str">
        <f>IFERROR('Costing Template'!S14,"")</f>
        <v/>
      </c>
      <c r="E34" s="33">
        <f>IFERROR('Costing Template'!D14,"")</f>
        <v>0</v>
      </c>
      <c r="F34" s="33">
        <f>IFERROR('Costing Template'!R14,"")</f>
        <v>0</v>
      </c>
    </row>
    <row r="35" spans="1:16" x14ac:dyDescent="0.3">
      <c r="A35" s="28">
        <v>10</v>
      </c>
      <c r="B35" s="41" t="str">
        <f>IFERROR('Costing Template'!B15,"")</f>
        <v>Pajak &amp; Asuransi</v>
      </c>
      <c r="C35" s="41" t="str">
        <f>IFERROR('Costing Template'!C15,"")</f>
        <v>luas_lantai</v>
      </c>
      <c r="D35" s="33" t="str">
        <f>IFERROR('Costing Template'!S15,"")</f>
        <v/>
      </c>
      <c r="E35" s="33">
        <f>IFERROR('Costing Template'!D15,"")</f>
        <v>0</v>
      </c>
      <c r="F35" s="33">
        <f>IFERROR('Costing Template'!R15,"")</f>
        <v>0</v>
      </c>
    </row>
    <row r="36" spans="1:16" x14ac:dyDescent="0.3">
      <c r="A36" s="28">
        <v>11</v>
      </c>
      <c r="B36" s="41" t="str">
        <f>IFERROR('Costing Template'!B16,"")</f>
        <v>Sewa dan Kerja Sama Operasional</v>
      </c>
      <c r="C36" s="41" t="str">
        <f>IFERROR('Costing Template'!C16,"")</f>
        <v>luas_lantai</v>
      </c>
      <c r="D36" s="33" t="str">
        <f>IFERROR('Costing Template'!S16,"")</f>
        <v/>
      </c>
      <c r="E36" s="33">
        <f>IFERROR('Costing Template'!D16,"")</f>
        <v>0</v>
      </c>
      <c r="F36" s="33">
        <f>IFERROR('Costing Template'!R16,"")</f>
        <v>0</v>
      </c>
    </row>
    <row r="37" spans="1:16" x14ac:dyDescent="0.3">
      <c r="A37" s="28">
        <v>12</v>
      </c>
      <c r="B37" s="41" t="str">
        <f>IFERROR('Costing Template'!B17,"")</f>
        <v>Parkir</v>
      </c>
      <c r="C37" s="41" t="str">
        <f>IFERROR('Costing Template'!C17,"")</f>
        <v>jumlah_kunjungan</v>
      </c>
      <c r="D37" s="33" t="str">
        <f>IFERROR('Costing Template'!S17,"")</f>
        <v/>
      </c>
      <c r="E37" s="33">
        <f>IFERROR('Costing Template'!D17,"")</f>
        <v>0</v>
      </c>
      <c r="F37" s="33">
        <f>IFERROR('Costing Template'!R17,"")</f>
        <v>0</v>
      </c>
    </row>
    <row r="38" spans="1:16" x14ac:dyDescent="0.3">
      <c r="B38" s="35" t="s">
        <v>629</v>
      </c>
      <c r="D38" s="36">
        <f>IFERROR(SUM(D26:D37),"")</f>
        <v>0</v>
      </c>
      <c r="E38" s="36">
        <f>IFERROR(SUM(E26:E37),"")</f>
        <v>0</v>
      </c>
      <c r="F38" s="36">
        <f>IFERROR(SUM(F26:F37),"")</f>
        <v>0</v>
      </c>
    </row>
    <row r="40" spans="1:16" x14ac:dyDescent="0.3">
      <c r="A40" s="39" t="s">
        <v>736</v>
      </c>
      <c r="B40" s="39"/>
      <c r="C40" s="39"/>
      <c r="D40" s="39"/>
      <c r="E40" s="39"/>
      <c r="F40" s="39"/>
      <c r="G40" s="39"/>
      <c r="H40" s="39"/>
      <c r="I40" s="39"/>
      <c r="J40" s="39"/>
      <c r="K40" s="39"/>
      <c r="L40" s="39"/>
      <c r="M40" s="39"/>
      <c r="N40" s="39"/>
      <c r="O40" s="39"/>
      <c r="P40" s="39"/>
    </row>
    <row r="41" spans="1:16" x14ac:dyDescent="0.3">
      <c r="B41" s="23" t="s">
        <v>737</v>
      </c>
    </row>
    <row r="42" spans="1:16" x14ac:dyDescent="0.3">
      <c r="A42" s="26" t="s">
        <v>600</v>
      </c>
      <c r="B42" s="26" t="s">
        <v>738</v>
      </c>
      <c r="C42" s="40" t="s">
        <v>61</v>
      </c>
      <c r="D42" s="40" t="s">
        <v>63</v>
      </c>
      <c r="E42" s="40" t="s">
        <v>65</v>
      </c>
      <c r="F42" s="40" t="s">
        <v>67</v>
      </c>
      <c r="G42" s="40" t="s">
        <v>69</v>
      </c>
    </row>
    <row r="43" spans="1:16" x14ac:dyDescent="0.3">
      <c r="A43" s="28">
        <v>1</v>
      </c>
      <c r="B43" s="41" t="str">
        <f>IFERROR('Costing Template'!B22,"")</f>
        <v>Farmasi</v>
      </c>
      <c r="C43" s="33">
        <f>IFERROR(N('Costing Template'!D22),"")</f>
        <v>0</v>
      </c>
      <c r="D43" s="33">
        <f>IFERROR(N('Costing Template'!R22),"")</f>
        <v>0</v>
      </c>
      <c r="E43" s="33">
        <f>IFERROR(N('Costing Template'!G22),"")</f>
        <v>0</v>
      </c>
      <c r="F43" s="33">
        <f>IFERROR(N('Costing Template'!G22)+N('Costing Template'!F22),"")</f>
        <v>0</v>
      </c>
      <c r="G43" s="33">
        <f>IFERROR(N('Costing Template'!E22),"")</f>
        <v>0</v>
      </c>
    </row>
    <row r="44" spans="1:16" x14ac:dyDescent="0.3">
      <c r="A44" s="28">
        <v>2</v>
      </c>
      <c r="B44" s="41" t="str">
        <f>IFERROR('Costing Template'!B23,"")</f>
        <v>Radiologi</v>
      </c>
      <c r="C44" s="33">
        <f>IFERROR(N('Costing Template'!D23),"")</f>
        <v>0</v>
      </c>
      <c r="D44" s="33">
        <f>IFERROR(N('Costing Template'!R23),"")</f>
        <v>0</v>
      </c>
      <c r="E44" s="33">
        <f>IFERROR(N('Costing Template'!G23),"")</f>
        <v>0</v>
      </c>
      <c r="F44" s="33">
        <f>IFERROR(N('Costing Template'!G23)+N('Costing Template'!F23),"")</f>
        <v>0</v>
      </c>
      <c r="G44" s="33">
        <f>IFERROR(N('Costing Template'!E23),"")</f>
        <v>0</v>
      </c>
    </row>
    <row r="45" spans="1:16" x14ac:dyDescent="0.3">
      <c r="A45" s="28">
        <v>3</v>
      </c>
      <c r="B45" s="41" t="str">
        <f>IFERROR('Costing Template'!B24,"")</f>
        <v>Laboratorium</v>
      </c>
      <c r="C45" s="33">
        <f>IFERROR(N('Costing Template'!D24),"")</f>
        <v>0</v>
      </c>
      <c r="D45" s="33">
        <f>IFERROR(N('Costing Template'!R24),"")</f>
        <v>0</v>
      </c>
      <c r="E45" s="33">
        <f>IFERROR(N('Costing Template'!G24),"")</f>
        <v>0</v>
      </c>
      <c r="F45" s="33">
        <f>IFERROR(N('Costing Template'!G24)+N('Costing Template'!F24),"")</f>
        <v>0</v>
      </c>
      <c r="G45" s="33">
        <f>IFERROR(N('Costing Template'!E24),"")</f>
        <v>0</v>
      </c>
    </row>
    <row r="46" spans="1:16" x14ac:dyDescent="0.3">
      <c r="A46" s="28">
        <v>4</v>
      </c>
      <c r="B46" s="41" t="str">
        <f>IFERROR('Costing Template'!B25,"")</f>
        <v>Rehabilitasi Medik</v>
      </c>
      <c r="C46" s="33">
        <f>IFERROR(N('Costing Template'!D25),"")</f>
        <v>0</v>
      </c>
      <c r="D46" s="33">
        <f>IFERROR(N('Costing Template'!R25),"")</f>
        <v>0</v>
      </c>
      <c r="E46" s="33">
        <f>IFERROR(N('Costing Template'!G25),"")</f>
        <v>0</v>
      </c>
      <c r="F46" s="33">
        <f>IFERROR(N('Costing Template'!G25)+N('Costing Template'!F25),"")</f>
        <v>0</v>
      </c>
      <c r="G46" s="33">
        <f>IFERROR(N('Costing Template'!E25),"")</f>
        <v>0</v>
      </c>
    </row>
    <row r="47" spans="1:16" x14ac:dyDescent="0.3">
      <c r="A47" s="28">
        <v>5</v>
      </c>
      <c r="B47" s="41" t="str">
        <f>IFERROR('Costing Template'!B26,"")</f>
        <v>Rehabilitasi Psikososial</v>
      </c>
      <c r="C47" s="33">
        <f>IFERROR(N('Costing Template'!D26),"")</f>
        <v>0</v>
      </c>
      <c r="D47" s="33">
        <f>IFERROR(N('Costing Template'!R26),"")</f>
        <v>0</v>
      </c>
      <c r="E47" s="33">
        <f>IFERROR(N('Costing Template'!G26),"")</f>
        <v>0</v>
      </c>
      <c r="F47" s="33">
        <f>IFERROR(N('Costing Template'!G26)+N('Costing Template'!F26),"")</f>
        <v>0</v>
      </c>
      <c r="G47" s="33">
        <f>IFERROR(N('Costing Template'!E26),"")</f>
        <v>0</v>
      </c>
    </row>
    <row r="48" spans="1:16" x14ac:dyDescent="0.3">
      <c r="A48" s="28">
        <v>6</v>
      </c>
      <c r="B48" s="41" t="str">
        <f>IFERROR('Costing Template'!B27,"")</f>
        <v>Instalasi Bedah Sentral (IBS)</v>
      </c>
      <c r="C48" s="33">
        <f>IFERROR(N('Costing Template'!D27),"")</f>
        <v>0</v>
      </c>
      <c r="D48" s="33">
        <f>IFERROR(N('Costing Template'!R27),"")</f>
        <v>0</v>
      </c>
      <c r="E48" s="33">
        <f>IFERROR(N('Costing Template'!G27),"")</f>
        <v>0</v>
      </c>
      <c r="F48" s="33">
        <f>IFERROR(N('Costing Template'!G27)+N('Costing Template'!F27),"")</f>
        <v>0</v>
      </c>
      <c r="G48" s="33">
        <f>IFERROR(N('Costing Template'!E27),"")</f>
        <v>0</v>
      </c>
    </row>
    <row r="49" spans="1:7" x14ac:dyDescent="0.3">
      <c r="A49" s="28">
        <v>7</v>
      </c>
      <c r="B49" s="41" t="str">
        <f>IFERROR('Costing Template'!B28,"")</f>
        <v>Instalasi Gizi</v>
      </c>
      <c r="C49" s="33">
        <f>IFERROR(N('Costing Template'!D28),"")</f>
        <v>0</v>
      </c>
      <c r="D49" s="33">
        <f>IFERROR(N('Costing Template'!R28),"")</f>
        <v>0</v>
      </c>
      <c r="E49" s="33">
        <f>IFERROR(N('Costing Template'!G28),"")</f>
        <v>0</v>
      </c>
      <c r="F49" s="33">
        <f>IFERROR(N('Costing Template'!G28)+N('Costing Template'!F28),"")</f>
        <v>0</v>
      </c>
      <c r="G49" s="33">
        <f>IFERROR(N('Costing Template'!E28),"")</f>
        <v>0</v>
      </c>
    </row>
    <row r="50" spans="1:7" x14ac:dyDescent="0.3">
      <c r="A50" s="28">
        <v>8</v>
      </c>
      <c r="B50" s="41" t="str">
        <f>IFERROR('Costing Template'!B29,"")</f>
        <v>Laundry Rumah Sakit</v>
      </c>
      <c r="C50" s="33">
        <f>IFERROR(N('Costing Template'!D29),"")</f>
        <v>0</v>
      </c>
      <c r="D50" s="33">
        <f>IFERROR(N('Costing Template'!R29),"")</f>
        <v>0</v>
      </c>
      <c r="E50" s="33">
        <f>IFERROR(N('Costing Template'!G29),"")</f>
        <v>0</v>
      </c>
      <c r="F50" s="33">
        <f>IFERROR(N('Costing Template'!G29)+N('Costing Template'!F29),"")</f>
        <v>0</v>
      </c>
      <c r="G50" s="33">
        <f>IFERROR(N('Costing Template'!E29),"")</f>
        <v>0</v>
      </c>
    </row>
    <row r="51" spans="1:7" x14ac:dyDescent="0.3">
      <c r="A51" s="28">
        <v>9</v>
      </c>
      <c r="B51" s="41" t="str">
        <f>IFERROR('Costing Template'!B30,"")</f>
        <v>Unit Sterilisasi Alat (CSSD)</v>
      </c>
      <c r="C51" s="33">
        <f>IFERROR(N('Costing Template'!D30),"")</f>
        <v>0</v>
      </c>
      <c r="D51" s="33">
        <f>IFERROR(N('Costing Template'!R30),"")</f>
        <v>0</v>
      </c>
      <c r="E51" s="33">
        <f>IFERROR(N('Costing Template'!G30),"")</f>
        <v>0</v>
      </c>
      <c r="F51" s="33">
        <f>IFERROR(N('Costing Template'!G30)+N('Costing Template'!F30),"")</f>
        <v>0</v>
      </c>
      <c r="G51" s="33">
        <f>IFERROR(N('Costing Template'!E30),"")</f>
        <v>0</v>
      </c>
    </row>
    <row r="52" spans="1:7" x14ac:dyDescent="0.3">
      <c r="A52" s="28">
        <v>10</v>
      </c>
      <c r="B52" s="41" t="str">
        <f>IFERROR('Costing Template'!B31,"")</f>
        <v>Gas Medis</v>
      </c>
      <c r="C52" s="33">
        <f>IFERROR(N('Costing Template'!D31),"")</f>
        <v>0</v>
      </c>
      <c r="D52" s="33">
        <f>IFERROR(N('Costing Template'!R31),"")</f>
        <v>0</v>
      </c>
      <c r="E52" s="33">
        <f>IFERROR(N('Costing Template'!G31),"")</f>
        <v>0</v>
      </c>
      <c r="F52" s="33">
        <f>IFERROR(N('Costing Template'!G31)+N('Costing Template'!F31),"")</f>
        <v>0</v>
      </c>
      <c r="G52" s="33">
        <f>IFERROR(N('Costing Template'!E31),"")</f>
        <v>0</v>
      </c>
    </row>
    <row r="53" spans="1:7" x14ac:dyDescent="0.3">
      <c r="A53" s="28">
        <v>11</v>
      </c>
      <c r="B53" s="41" t="str">
        <f>IFERROR('Costing Template'!B32,"")</f>
        <v>Bank Darah</v>
      </c>
      <c r="C53" s="33">
        <f>IFERROR(N('Costing Template'!D32),"")</f>
        <v>0</v>
      </c>
      <c r="D53" s="33">
        <f>IFERROR(N('Costing Template'!R32),"")</f>
        <v>0</v>
      </c>
      <c r="E53" s="33">
        <f>IFERROR(N('Costing Template'!G32),"")</f>
        <v>0</v>
      </c>
      <c r="F53" s="33">
        <f>IFERROR(N('Costing Template'!G32)+N('Costing Template'!F32),"")</f>
        <v>0</v>
      </c>
      <c r="G53" s="33">
        <f>IFERROR(N('Costing Template'!E32),"")</f>
        <v>0</v>
      </c>
    </row>
    <row r="54" spans="1:7" x14ac:dyDescent="0.3">
      <c r="A54" s="28">
        <v>12</v>
      </c>
      <c r="B54" s="41" t="str">
        <f>IFERROR('Costing Template'!B33,"")</f>
        <v>Bank Jaringan</v>
      </c>
      <c r="C54" s="33">
        <f>IFERROR(N('Costing Template'!D33),"")</f>
        <v>0</v>
      </c>
      <c r="D54" s="33">
        <f>IFERROR(N('Costing Template'!R33),"")</f>
        <v>0</v>
      </c>
      <c r="E54" s="33">
        <f>IFERROR(N('Costing Template'!G33),"")</f>
        <v>0</v>
      </c>
      <c r="F54" s="33">
        <f>IFERROR(N('Costing Template'!G33)+N('Costing Template'!F33),"")</f>
        <v>0</v>
      </c>
      <c r="G54" s="33">
        <f>IFERROR(N('Costing Template'!E33),"")</f>
        <v>0</v>
      </c>
    </row>
    <row r="55" spans="1:7" x14ac:dyDescent="0.3">
      <c r="A55" s="28">
        <v>13</v>
      </c>
      <c r="B55" s="41" t="str">
        <f>IFERROR('Costing Template'!B38,"")</f>
        <v>Kamar Rawat Inap Standar (KRIS) C</v>
      </c>
      <c r="C55" s="33">
        <f>IFERROR(N('Costing Template'!D38),"")</f>
        <v>0</v>
      </c>
      <c r="D55" s="33">
        <f>IFERROR(N('Costing Template'!R38),"")</f>
        <v>0</v>
      </c>
      <c r="E55" s="33">
        <f>IFERROR(N('Costing Template'!G38),"")</f>
        <v>0</v>
      </c>
      <c r="F55" s="33">
        <f>IFERROR(N('Costing Template'!G38)+N('Costing Template'!F38),"")</f>
        <v>0</v>
      </c>
      <c r="G55" s="33">
        <f>IFERROR(N('Costing Template'!E38),"")</f>
        <v>0</v>
      </c>
    </row>
    <row r="56" spans="1:7" x14ac:dyDescent="0.3">
      <c r="A56" s="28">
        <v>14</v>
      </c>
      <c r="B56" s="41" t="str">
        <f>IFERROR('Costing Template'!B39,"")</f>
        <v>Kamar Rawat Inap Standar (KRIS) B</v>
      </c>
      <c r="C56" s="33">
        <f>IFERROR(N('Costing Template'!D39),"")</f>
        <v>0</v>
      </c>
      <c r="D56" s="33">
        <f>IFERROR(N('Costing Template'!R39),"")</f>
        <v>0</v>
      </c>
      <c r="E56" s="33">
        <f>IFERROR(N('Costing Template'!G39),"")</f>
        <v>0</v>
      </c>
      <c r="F56" s="33">
        <f>IFERROR(N('Costing Template'!G39)+N('Costing Template'!F39),"")</f>
        <v>0</v>
      </c>
      <c r="G56" s="33">
        <f>IFERROR(N('Costing Template'!E39),"")</f>
        <v>0</v>
      </c>
    </row>
    <row r="57" spans="1:7" x14ac:dyDescent="0.3">
      <c r="A57" s="28">
        <v>15</v>
      </c>
      <c r="B57" s="41" t="str">
        <f>IFERROR('Costing Template'!B40,"")</f>
        <v>Kamar Rawat Inap Standar (KRIS) A</v>
      </c>
      <c r="C57" s="33">
        <f>IFERROR(N('Costing Template'!D40),"")</f>
        <v>0</v>
      </c>
      <c r="D57" s="33">
        <f>IFERROR(N('Costing Template'!R40),"")</f>
        <v>0</v>
      </c>
      <c r="E57" s="33">
        <f>IFERROR(N('Costing Template'!G40),"")</f>
        <v>0</v>
      </c>
      <c r="F57" s="33">
        <f>IFERROR(N('Costing Template'!G40)+N('Costing Template'!F40),"")</f>
        <v>0</v>
      </c>
      <c r="G57" s="33">
        <f>IFERROR(N('Costing Template'!E40),"")</f>
        <v>0</v>
      </c>
    </row>
    <row r="58" spans="1:7" x14ac:dyDescent="0.3">
      <c r="A58" s="28">
        <v>16</v>
      </c>
      <c r="B58" s="41" t="str">
        <f>IFERROR('Costing Template'!B41,"")</f>
        <v>Kamar VIP/VVIP/Suite</v>
      </c>
      <c r="C58" s="33">
        <f>IFERROR(N('Costing Template'!D41),"")</f>
        <v>0</v>
      </c>
      <c r="D58" s="33">
        <f>IFERROR(N('Costing Template'!R41),"")</f>
        <v>0</v>
      </c>
      <c r="E58" s="33">
        <f>IFERROR(N('Costing Template'!G41),"")</f>
        <v>0</v>
      </c>
      <c r="F58" s="33">
        <f>IFERROR(N('Costing Template'!G41)+N('Costing Template'!F41),"")</f>
        <v>0</v>
      </c>
      <c r="G58" s="33">
        <f>IFERROR(N('Costing Template'!E41),"")</f>
        <v>0</v>
      </c>
    </row>
    <row r="59" spans="1:7" x14ac:dyDescent="0.3">
      <c r="A59" s="28">
        <v>17</v>
      </c>
      <c r="B59" s="41" t="str">
        <f>IFERROR('Costing Template'!B42,"")</f>
        <v>Kamar ICU/ICCU/NICU/PICU/HCU</v>
      </c>
      <c r="C59" s="33">
        <f>IFERROR(N('Costing Template'!D42),"")</f>
        <v>0</v>
      </c>
      <c r="D59" s="33">
        <f>IFERROR(N('Costing Template'!R42),"")</f>
        <v>0</v>
      </c>
      <c r="E59" s="33">
        <f>IFERROR(N('Costing Template'!G42),"")</f>
        <v>0</v>
      </c>
      <c r="F59" s="33">
        <f>IFERROR(N('Costing Template'!G42)+N('Costing Template'!F42),"")</f>
        <v>0</v>
      </c>
      <c r="G59" s="33">
        <f>IFERROR(N('Costing Template'!E42),"")</f>
        <v>0</v>
      </c>
    </row>
    <row r="60" spans="1:7" x14ac:dyDescent="0.3">
      <c r="A60" s="28">
        <v>18</v>
      </c>
      <c r="B60" s="41" t="str">
        <f>IFERROR('Costing Template'!B43,"")</f>
        <v>Instalasi Gawat Darurat (IGD)</v>
      </c>
      <c r="C60" s="33">
        <f>IFERROR(N('Costing Template'!D43),"")</f>
        <v>0</v>
      </c>
      <c r="D60" s="33">
        <f>IFERROR(N('Costing Template'!R43),"")</f>
        <v>0</v>
      </c>
      <c r="E60" s="33">
        <f>IFERROR(N('Costing Template'!G43),"")</f>
        <v>0</v>
      </c>
      <c r="F60" s="33">
        <f>IFERROR(N('Costing Template'!G43)+N('Costing Template'!F43),"")</f>
        <v>0</v>
      </c>
      <c r="G60" s="33">
        <f>IFERROR(N('Costing Template'!E43),"")</f>
        <v>0</v>
      </c>
    </row>
    <row r="61" spans="1:7" x14ac:dyDescent="0.3">
      <c r="A61" s="28">
        <v>19</v>
      </c>
      <c r="B61" s="41" t="str">
        <f>IFERROR('Costing Template'!B44,"")</f>
        <v>Neoplasma dan Myeloproliferative</v>
      </c>
      <c r="C61" s="33">
        <f>IFERROR(N('Costing Template'!D44),"")</f>
        <v>0</v>
      </c>
      <c r="D61" s="33">
        <f>IFERROR(N('Costing Template'!R44),"")</f>
        <v>0</v>
      </c>
      <c r="E61" s="33">
        <f>IFERROR(N('Costing Template'!G44),"")</f>
        <v>0</v>
      </c>
      <c r="F61" s="33">
        <f>IFERROR(N('Costing Template'!G44)+N('Costing Template'!F44),"")</f>
        <v>0</v>
      </c>
      <c r="G61" s="33">
        <f>IFERROR(N('Costing Template'!E44),"")</f>
        <v>0</v>
      </c>
    </row>
    <row r="62" spans="1:7" x14ac:dyDescent="0.3">
      <c r="A62" s="28">
        <v>20</v>
      </c>
      <c r="B62" s="41" t="str">
        <f>IFERROR('Costing Template'!B45,"")</f>
        <v>Jantung dan Pembuluh Darah</v>
      </c>
      <c r="C62" s="33">
        <f>IFERROR(N('Costing Template'!D45),"")</f>
        <v>0</v>
      </c>
      <c r="D62" s="33">
        <f>IFERROR(N('Costing Template'!R45),"")</f>
        <v>0</v>
      </c>
      <c r="E62" s="33">
        <f>IFERROR(N('Costing Template'!G45),"")</f>
        <v>0</v>
      </c>
      <c r="F62" s="33">
        <f>IFERROR(N('Costing Template'!G45)+N('Costing Template'!F45),"")</f>
        <v>0</v>
      </c>
      <c r="G62" s="33">
        <f>IFERROR(N('Costing Template'!E45),"")</f>
        <v>0</v>
      </c>
    </row>
    <row r="63" spans="1:7" x14ac:dyDescent="0.3">
      <c r="A63" s="28">
        <v>21</v>
      </c>
      <c r="B63" s="41" t="str">
        <f>IFERROR('Costing Template'!B46,"")</f>
        <v>Saraf / Neuroscience</v>
      </c>
      <c r="C63" s="33">
        <f>IFERROR(N('Costing Template'!D46),"")</f>
        <v>0</v>
      </c>
      <c r="D63" s="33">
        <f>IFERROR(N('Costing Template'!R46),"")</f>
        <v>0</v>
      </c>
      <c r="E63" s="33">
        <f>IFERROR(N('Costing Template'!G46),"")</f>
        <v>0</v>
      </c>
      <c r="F63" s="33">
        <f>IFERROR(N('Costing Template'!G46)+N('Costing Template'!F46),"")</f>
        <v>0</v>
      </c>
      <c r="G63" s="33">
        <f>IFERROR(N('Costing Template'!E46),"")</f>
        <v>0</v>
      </c>
    </row>
    <row r="64" spans="1:7" x14ac:dyDescent="0.3">
      <c r="A64" s="28">
        <v>22</v>
      </c>
      <c r="B64" s="41" t="str">
        <f>IFERROR('Costing Template'!B47,"")</f>
        <v>Kesehatan Ibu dan Ginekologi</v>
      </c>
      <c r="C64" s="33">
        <f>IFERROR(N('Costing Template'!D47),"")</f>
        <v>0</v>
      </c>
      <c r="D64" s="33">
        <f>IFERROR(N('Costing Template'!R47),"")</f>
        <v>0</v>
      </c>
      <c r="E64" s="33">
        <f>IFERROR(N('Costing Template'!G47),"")</f>
        <v>0</v>
      </c>
      <c r="F64" s="33">
        <f>IFERROR(N('Costing Template'!G47)+N('Costing Template'!F47),"")</f>
        <v>0</v>
      </c>
      <c r="G64" s="33">
        <f>IFERROR(N('Costing Template'!E47),"")</f>
        <v>0</v>
      </c>
    </row>
    <row r="65" spans="1:7" x14ac:dyDescent="0.3">
      <c r="A65" s="28">
        <v>23</v>
      </c>
      <c r="B65" s="41" t="str">
        <f>IFERROR('Costing Template'!B48,"")</f>
        <v>Kesehatan Neonatus</v>
      </c>
      <c r="C65" s="33">
        <f>IFERROR(N('Costing Template'!D48),"")</f>
        <v>0</v>
      </c>
      <c r="D65" s="33">
        <f>IFERROR(N('Costing Template'!R48),"")</f>
        <v>0</v>
      </c>
      <c r="E65" s="33">
        <f>IFERROR(N('Costing Template'!G48),"")</f>
        <v>0</v>
      </c>
      <c r="F65" s="33">
        <f>IFERROR(N('Costing Template'!G48)+N('Costing Template'!F48),"")</f>
        <v>0</v>
      </c>
      <c r="G65" s="33">
        <f>IFERROR(N('Costing Template'!E48),"")</f>
        <v>0</v>
      </c>
    </row>
    <row r="66" spans="1:7" x14ac:dyDescent="0.3">
      <c r="A66" s="28">
        <v>24</v>
      </c>
      <c r="B66" s="41" t="str">
        <f>IFERROR('Costing Template'!B49,"")</f>
        <v>Sistem Pencernaan dan Hepatobiliar</v>
      </c>
      <c r="C66" s="33">
        <f>IFERROR(N('Costing Template'!D49),"")</f>
        <v>0</v>
      </c>
      <c r="D66" s="33">
        <f>IFERROR(N('Costing Template'!R49),"")</f>
        <v>0</v>
      </c>
      <c r="E66" s="33">
        <f>IFERROR(N('Costing Template'!G49),"")</f>
        <v>0</v>
      </c>
      <c r="F66" s="33">
        <f>IFERROR(N('Costing Template'!G49)+N('Costing Template'!F49),"")</f>
        <v>0</v>
      </c>
      <c r="G66" s="33">
        <f>IFERROR(N('Costing Template'!E49),"")</f>
        <v>0</v>
      </c>
    </row>
    <row r="67" spans="1:7" x14ac:dyDescent="0.3">
      <c r="A67" s="28">
        <v>25</v>
      </c>
      <c r="B67" s="41" t="str">
        <f>IFERROR('Costing Template'!B50,"")</f>
        <v>Uronefro (Urologi dan Nefrologi)</v>
      </c>
      <c r="C67" s="33">
        <f>IFERROR(N('Costing Template'!D50),"")</f>
        <v>0</v>
      </c>
      <c r="D67" s="33">
        <f>IFERROR(N('Costing Template'!R50),"")</f>
        <v>0</v>
      </c>
      <c r="E67" s="33">
        <f>IFERROR(N('Costing Template'!G50),"")</f>
        <v>0</v>
      </c>
      <c r="F67" s="33">
        <f>IFERROR(N('Costing Template'!G50)+N('Costing Template'!F50),"")</f>
        <v>0</v>
      </c>
      <c r="G67" s="33">
        <f>IFERROR(N('Costing Template'!E50),"")</f>
        <v>0</v>
      </c>
    </row>
    <row r="68" spans="1:7" x14ac:dyDescent="0.3">
      <c r="A68" s="28">
        <v>26</v>
      </c>
      <c r="B68" s="41" t="str">
        <f>IFERROR('Costing Template'!B51,"")</f>
        <v>Musculoskeletal dan Jaringan Lunak</v>
      </c>
      <c r="C68" s="33">
        <f>IFERROR(N('Costing Template'!D51),"")</f>
        <v>0</v>
      </c>
      <c r="D68" s="33">
        <f>IFERROR(N('Costing Template'!R51),"")</f>
        <v>0</v>
      </c>
      <c r="E68" s="33">
        <f>IFERROR(N('Costing Template'!G51),"")</f>
        <v>0</v>
      </c>
      <c r="F68" s="33">
        <f>IFERROR(N('Costing Template'!G51)+N('Costing Template'!F51),"")</f>
        <v>0</v>
      </c>
      <c r="G68" s="33">
        <f>IFERROR(N('Costing Template'!E51),"")</f>
        <v>0</v>
      </c>
    </row>
    <row r="69" spans="1:7" x14ac:dyDescent="0.3">
      <c r="A69" s="28">
        <v>27</v>
      </c>
      <c r="B69" s="41" t="str">
        <f>IFERROR('Costing Template'!B52,"")</f>
        <v>Rekonstruksi dan Estetika</v>
      </c>
      <c r="C69" s="33">
        <f>IFERROR(N('Costing Template'!D52),"")</f>
        <v>0</v>
      </c>
      <c r="D69" s="33">
        <f>IFERROR(N('Costing Template'!R52),"")</f>
        <v>0</v>
      </c>
      <c r="E69" s="33">
        <f>IFERROR(N('Costing Template'!G52),"")</f>
        <v>0</v>
      </c>
      <c r="F69" s="33">
        <f>IFERROR(N('Costing Template'!G52)+N('Costing Template'!F52),"")</f>
        <v>0</v>
      </c>
      <c r="G69" s="33">
        <f>IFERROR(N('Costing Template'!E52),"")</f>
        <v>0</v>
      </c>
    </row>
    <row r="70" spans="1:7" x14ac:dyDescent="0.3">
      <c r="A70" s="28">
        <v>28</v>
      </c>
      <c r="B70" s="41" t="str">
        <f>IFERROR('Costing Template'!B53,"")</f>
        <v>Trauma</v>
      </c>
      <c r="C70" s="33">
        <f>IFERROR(N('Costing Template'!D53),"")</f>
        <v>0</v>
      </c>
      <c r="D70" s="33">
        <f>IFERROR(N('Costing Template'!R53),"")</f>
        <v>0</v>
      </c>
      <c r="E70" s="33">
        <f>IFERROR(N('Costing Template'!G53),"")</f>
        <v>0</v>
      </c>
      <c r="F70" s="33">
        <f>IFERROR(N('Costing Template'!G53)+N('Costing Template'!F53),"")</f>
        <v>0</v>
      </c>
      <c r="G70" s="33">
        <f>IFERROR(N('Costing Template'!E53),"")</f>
        <v>0</v>
      </c>
    </row>
    <row r="71" spans="1:7" x14ac:dyDescent="0.3">
      <c r="A71" s="28">
        <v>29</v>
      </c>
      <c r="B71" s="41" t="str">
        <f>IFERROR('Costing Template'!B54,"")</f>
        <v>Paru</v>
      </c>
      <c r="C71" s="33">
        <f>IFERROR(N('Costing Template'!D54),"")</f>
        <v>0</v>
      </c>
      <c r="D71" s="33">
        <f>IFERROR(N('Costing Template'!R54),"")</f>
        <v>0</v>
      </c>
      <c r="E71" s="33">
        <f>IFERROR(N('Costing Template'!G54),"")</f>
        <v>0</v>
      </c>
      <c r="F71" s="33">
        <f>IFERROR(N('Costing Template'!G54)+N('Costing Template'!F54),"")</f>
        <v>0</v>
      </c>
      <c r="G71" s="33">
        <f>IFERROR(N('Costing Template'!E54),"")</f>
        <v>0</v>
      </c>
    </row>
    <row r="72" spans="1:7" x14ac:dyDescent="0.3">
      <c r="A72" s="28">
        <v>30</v>
      </c>
      <c r="B72" s="41" t="str">
        <f>IFERROR('Costing Template'!B55,"")</f>
        <v>THT (Telinga, Hidung, Tenggorokan)</v>
      </c>
      <c r="C72" s="33">
        <f>IFERROR(N('Costing Template'!D55),"")</f>
        <v>0</v>
      </c>
      <c r="D72" s="33">
        <f>IFERROR(N('Costing Template'!R55),"")</f>
        <v>0</v>
      </c>
      <c r="E72" s="33">
        <f>IFERROR(N('Costing Template'!G55),"")</f>
        <v>0</v>
      </c>
      <c r="F72" s="33">
        <f>IFERROR(N('Costing Template'!G55)+N('Costing Template'!F55),"")</f>
        <v>0</v>
      </c>
      <c r="G72" s="33">
        <f>IFERROR(N('Costing Template'!E55),"")</f>
        <v>0</v>
      </c>
    </row>
    <row r="73" spans="1:7" x14ac:dyDescent="0.3">
      <c r="A73" s="28">
        <v>31</v>
      </c>
      <c r="B73" s="41" t="str">
        <f>IFERROR('Costing Template'!B56,"")</f>
        <v>Mata</v>
      </c>
      <c r="C73" s="33">
        <f>IFERROR(N('Costing Template'!D56),"")</f>
        <v>0</v>
      </c>
      <c r="D73" s="33">
        <f>IFERROR(N('Costing Template'!R56),"")</f>
        <v>0</v>
      </c>
      <c r="E73" s="33">
        <f>IFERROR(N('Costing Template'!G56),"")</f>
        <v>0</v>
      </c>
      <c r="F73" s="33">
        <f>IFERROR(N('Costing Template'!G56)+N('Costing Template'!F56),"")</f>
        <v>0</v>
      </c>
      <c r="G73" s="33">
        <f>IFERROR(N('Costing Template'!E56),"")</f>
        <v>0</v>
      </c>
    </row>
    <row r="74" spans="1:7" x14ac:dyDescent="0.3">
      <c r="A74" s="28">
        <v>32</v>
      </c>
      <c r="B74" s="41" t="str">
        <f>IFERROR('Costing Template'!B57,"")</f>
        <v>Kulit dan Kelamin</v>
      </c>
      <c r="C74" s="33">
        <f>IFERROR(N('Costing Template'!D57),"")</f>
        <v>0</v>
      </c>
      <c r="D74" s="33">
        <f>IFERROR(N('Costing Template'!R57),"")</f>
        <v>0</v>
      </c>
      <c r="E74" s="33">
        <f>IFERROR(N('Costing Template'!G57),"")</f>
        <v>0</v>
      </c>
      <c r="F74" s="33">
        <f>IFERROR(N('Costing Template'!G57)+N('Costing Template'!F57),"")</f>
        <v>0</v>
      </c>
      <c r="G74" s="33">
        <f>IFERROR(N('Costing Template'!E57),"")</f>
        <v>0</v>
      </c>
    </row>
    <row r="75" spans="1:7" x14ac:dyDescent="0.3">
      <c r="A75" s="28">
        <v>33</v>
      </c>
      <c r="B75" s="41" t="str">
        <f>IFERROR('Costing Template'!B58,"")</f>
        <v>Infeksi / Penyakit Tropis</v>
      </c>
      <c r="C75" s="33">
        <f>IFERROR(N('Costing Template'!D58),"")</f>
        <v>0</v>
      </c>
      <c r="D75" s="33">
        <f>IFERROR(N('Costing Template'!R58),"")</f>
        <v>0</v>
      </c>
      <c r="E75" s="33">
        <f>IFERROR(N('Costing Template'!G58),"")</f>
        <v>0</v>
      </c>
      <c r="F75" s="33">
        <f>IFERROR(N('Costing Template'!G58)+N('Costing Template'!F58),"")</f>
        <v>0</v>
      </c>
      <c r="G75" s="33">
        <f>IFERROR(N('Costing Template'!E58),"")</f>
        <v>0</v>
      </c>
    </row>
    <row r="76" spans="1:7" x14ac:dyDescent="0.3">
      <c r="A76" s="28">
        <v>34</v>
      </c>
      <c r="B76" s="41" t="str">
        <f>IFERROR('Costing Template'!B59,"")</f>
        <v>Hematologi dan Onkologi Medik</v>
      </c>
      <c r="C76" s="33">
        <f>IFERROR(N('Costing Template'!D59),"")</f>
        <v>0</v>
      </c>
      <c r="D76" s="33">
        <f>IFERROR(N('Costing Template'!R59),"")</f>
        <v>0</v>
      </c>
      <c r="E76" s="33">
        <f>IFERROR(N('Costing Template'!G59),"")</f>
        <v>0</v>
      </c>
      <c r="F76" s="33">
        <f>IFERROR(N('Costing Template'!G59)+N('Costing Template'!F59),"")</f>
        <v>0</v>
      </c>
      <c r="G76" s="33">
        <f>IFERROR(N('Costing Template'!E59),"")</f>
        <v>0</v>
      </c>
    </row>
    <row r="77" spans="1:7" x14ac:dyDescent="0.3">
      <c r="A77" s="28">
        <v>35</v>
      </c>
      <c r="B77" s="41" t="str">
        <f>IFERROR('Costing Template'!B60,"")</f>
        <v>Imunologi dan Reumatologi</v>
      </c>
      <c r="C77" s="33">
        <f>IFERROR(N('Costing Template'!D60),"")</f>
        <v>0</v>
      </c>
      <c r="D77" s="33">
        <f>IFERROR(N('Costing Template'!R60),"")</f>
        <v>0</v>
      </c>
      <c r="E77" s="33">
        <f>IFERROR(N('Costing Template'!G60),"")</f>
        <v>0</v>
      </c>
      <c r="F77" s="33">
        <f>IFERROR(N('Costing Template'!G60)+N('Costing Template'!F60),"")</f>
        <v>0</v>
      </c>
      <c r="G77" s="33">
        <f>IFERROR(N('Costing Template'!E60),"")</f>
        <v>0</v>
      </c>
    </row>
    <row r="78" spans="1:7" x14ac:dyDescent="0.3">
      <c r="A78" s="28">
        <v>36</v>
      </c>
      <c r="B78" s="41" t="str">
        <f>IFERROR('Costing Template'!B61,"")</f>
        <v>Keracunan (Toksikologi)</v>
      </c>
      <c r="C78" s="33">
        <f>IFERROR(N('Costing Template'!D61),"")</f>
        <v>0</v>
      </c>
      <c r="D78" s="33">
        <f>IFERROR(N('Costing Template'!R61),"")</f>
        <v>0</v>
      </c>
      <c r="E78" s="33">
        <f>IFERROR(N('Costing Template'!G61),"")</f>
        <v>0</v>
      </c>
      <c r="F78" s="33">
        <f>IFERROR(N('Costing Template'!G61)+N('Costing Template'!F61),"")</f>
        <v>0</v>
      </c>
      <c r="G78" s="33">
        <f>IFERROR(N('Costing Template'!E61),"")</f>
        <v>0</v>
      </c>
    </row>
    <row r="79" spans="1:7" x14ac:dyDescent="0.3">
      <c r="A79" s="28">
        <v>37</v>
      </c>
      <c r="B79" s="41" t="str">
        <f>IFERROR('Costing Template'!B62,"")</f>
        <v>Endokrin, Metabolik, dan Diabetes</v>
      </c>
      <c r="C79" s="33">
        <f>IFERROR(N('Costing Template'!D62),"")</f>
        <v>0</v>
      </c>
      <c r="D79" s="33">
        <f>IFERROR(N('Costing Template'!R62),"")</f>
        <v>0</v>
      </c>
      <c r="E79" s="33">
        <f>IFERROR(N('Costing Template'!G62),"")</f>
        <v>0</v>
      </c>
      <c r="F79" s="33">
        <f>IFERROR(N('Costing Template'!G62)+N('Costing Template'!F62),"")</f>
        <v>0</v>
      </c>
      <c r="G79" s="33">
        <f>IFERROR(N('Costing Template'!E62),"")</f>
        <v>0</v>
      </c>
    </row>
    <row r="80" spans="1:7" x14ac:dyDescent="0.3">
      <c r="A80" s="28">
        <v>38</v>
      </c>
      <c r="B80" s="41" t="str">
        <f>IFERROR('Costing Template'!B63,"")</f>
        <v>Luka Bakar (Burn Unit)</v>
      </c>
      <c r="C80" s="33">
        <f>IFERROR(N('Costing Template'!D63),"")</f>
        <v>0</v>
      </c>
      <c r="D80" s="33">
        <f>IFERROR(N('Costing Template'!R63),"")</f>
        <v>0</v>
      </c>
      <c r="E80" s="33">
        <f>IFERROR(N('Costing Template'!G63),"")</f>
        <v>0</v>
      </c>
      <c r="F80" s="33">
        <f>IFERROR(N('Costing Template'!G63)+N('Costing Template'!F63),"")</f>
        <v>0</v>
      </c>
      <c r="G80" s="33">
        <f>IFERROR(N('Costing Template'!E63),"")</f>
        <v>0</v>
      </c>
    </row>
    <row r="81" spans="1:16" x14ac:dyDescent="0.3">
      <c r="A81" s="28">
        <v>39</v>
      </c>
      <c r="B81" s="41" t="str">
        <f>IFERROR('Costing Template'!B64,"")</f>
        <v>Jiwa / Psikiatri</v>
      </c>
      <c r="C81" s="33">
        <f>IFERROR(N('Costing Template'!D64),"")</f>
        <v>0</v>
      </c>
      <c r="D81" s="33">
        <f>IFERROR(N('Costing Template'!R64),"")</f>
        <v>0</v>
      </c>
      <c r="E81" s="33">
        <f>IFERROR(N('Costing Template'!G64),"")</f>
        <v>0</v>
      </c>
      <c r="F81" s="33">
        <f>IFERROR(N('Costing Template'!G64)+N('Costing Template'!F64),"")</f>
        <v>0</v>
      </c>
      <c r="G81" s="33">
        <f>IFERROR(N('Costing Template'!E64),"")</f>
        <v>0</v>
      </c>
    </row>
    <row r="82" spans="1:16" x14ac:dyDescent="0.3">
      <c r="A82" s="28">
        <v>40</v>
      </c>
      <c r="B82" s="41" t="str">
        <f>IFERROR('Costing Template'!B65,"")</f>
        <v>Gigi dan Mulut</v>
      </c>
      <c r="C82" s="33">
        <f>IFERROR(N('Costing Template'!D65),"")</f>
        <v>0</v>
      </c>
      <c r="D82" s="33">
        <f>IFERROR(N('Costing Template'!R65),"")</f>
        <v>0</v>
      </c>
      <c r="E82" s="33">
        <f>IFERROR(N('Costing Template'!G65),"")</f>
        <v>0</v>
      </c>
      <c r="F82" s="33">
        <f>IFERROR(N('Costing Template'!G65)+N('Costing Template'!F65),"")</f>
        <v>0</v>
      </c>
      <c r="G82" s="33">
        <f>IFERROR(N('Costing Template'!E65),"")</f>
        <v>0</v>
      </c>
    </row>
    <row r="83" spans="1:16" x14ac:dyDescent="0.3">
      <c r="A83" s="28">
        <v>41</v>
      </c>
      <c r="B83" s="41" t="str">
        <f>IFERROR('Costing Template'!B66,"")</f>
        <v>Forensik dan Medikolegal</v>
      </c>
      <c r="C83" s="33">
        <f>IFERROR(N('Costing Template'!D66),"")</f>
        <v>0</v>
      </c>
      <c r="D83" s="33">
        <f>IFERROR(N('Costing Template'!R66),"")</f>
        <v>0</v>
      </c>
      <c r="E83" s="33">
        <f>IFERROR(N('Costing Template'!G66),"")</f>
        <v>0</v>
      </c>
      <c r="F83" s="33">
        <f>IFERROR(N('Costing Template'!G66)+N('Costing Template'!F66),"")</f>
        <v>0</v>
      </c>
      <c r="G83" s="33">
        <f>IFERROR(N('Costing Template'!E66),"")</f>
        <v>0</v>
      </c>
    </row>
    <row r="84" spans="1:16" x14ac:dyDescent="0.3">
      <c r="A84" s="28">
        <v>42</v>
      </c>
      <c r="B84" s="41" t="str">
        <f>IFERROR('Costing Template'!B67,"")</f>
        <v>Rehabilitasi Medik</v>
      </c>
      <c r="C84" s="33">
        <f>IFERROR(N('Costing Template'!D67),"")</f>
        <v>0</v>
      </c>
      <c r="D84" s="33">
        <f>IFERROR(N('Costing Template'!R67),"")</f>
        <v>0</v>
      </c>
      <c r="E84" s="33">
        <f>IFERROR(N('Costing Template'!G67),"")</f>
        <v>0</v>
      </c>
      <c r="F84" s="33">
        <f>IFERROR(N('Costing Template'!G67)+N('Costing Template'!F67),"")</f>
        <v>0</v>
      </c>
      <c r="G84" s="33">
        <f>IFERROR(N('Costing Template'!E67),"")</f>
        <v>0</v>
      </c>
    </row>
    <row r="85" spans="1:16" x14ac:dyDescent="0.3">
      <c r="B85" s="35" t="s">
        <v>739</v>
      </c>
      <c r="C85" s="36">
        <f>IFERROR(SUM(C43:C84),"")</f>
        <v>0</v>
      </c>
      <c r="D85" s="36">
        <f>IFERROR(SUM(D43:D84),"")</f>
        <v>0</v>
      </c>
      <c r="E85" s="36">
        <f>IFERROR(SUM(E43:E84),"")</f>
        <v>0</v>
      </c>
      <c r="F85" s="36">
        <f>IFERROR(SUM(F43:F84),"")</f>
        <v>0</v>
      </c>
      <c r="G85" s="36">
        <f>IFERROR(SUM(G43:G84),"")</f>
        <v>0</v>
      </c>
    </row>
    <row r="87" spans="1:16" x14ac:dyDescent="0.3">
      <c r="A87" s="39" t="s">
        <v>740</v>
      </c>
      <c r="B87" s="39"/>
      <c r="C87" s="39"/>
      <c r="D87" s="39"/>
      <c r="E87" s="39"/>
      <c r="F87" s="39"/>
      <c r="G87" s="39"/>
      <c r="H87" s="39"/>
      <c r="I87" s="39"/>
      <c r="J87" s="39"/>
      <c r="K87" s="39"/>
      <c r="L87" s="39"/>
      <c r="M87" s="39"/>
      <c r="N87" s="39"/>
      <c r="O87" s="39"/>
      <c r="P87" s="39"/>
    </row>
    <row r="88" spans="1:16" x14ac:dyDescent="0.3">
      <c r="B88" s="23" t="s">
        <v>741</v>
      </c>
    </row>
    <row r="89" spans="1:16" x14ac:dyDescent="0.3">
      <c r="A89" s="26" t="s">
        <v>600</v>
      </c>
      <c r="B89" s="26" t="s">
        <v>742</v>
      </c>
      <c r="C89" s="40" t="str">
        <f>IFERROR(B26,"")</f>
        <v>Manajemen &amp; Administrasi</v>
      </c>
      <c r="D89" s="40" t="str">
        <f>IFERROR(B27,"")</f>
        <v>Komite &amp; Pengawasan</v>
      </c>
      <c r="E89" s="40" t="str">
        <f>IFERROR(B28,"")</f>
        <v>Teknologi Informasi</v>
      </c>
      <c r="F89" s="40" t="str">
        <f>IFERROR(B29,"")</f>
        <v>Pendidikan &amp; Penelitian</v>
      </c>
      <c r="G89" s="40" t="str">
        <f>IFERROR(B30,"")</f>
        <v>Keamanan &amp; Keselamatan</v>
      </c>
      <c r="H89" s="40" t="str">
        <f>IFERROR(B31,"")</f>
        <v>Cleaning Services</v>
      </c>
      <c r="I89" s="40" t="str">
        <f>IFERROR(B32,"")</f>
        <v>Customer Service / Front Office</v>
      </c>
      <c r="J89" s="40" t="str">
        <f>IFERROR(B33,"")</f>
        <v>Bahan Habis Pakai - Non Medis</v>
      </c>
      <c r="K89" s="40" t="str">
        <f>IFERROR(B34,"")</f>
        <v>Fasilitas (Listrik, Air, Telepon, Internet)</v>
      </c>
      <c r="L89" s="40" t="str">
        <f>IFERROR(B35,"")</f>
        <v>Pajak &amp; Asuransi</v>
      </c>
      <c r="M89" s="40" t="str">
        <f>IFERROR(B36,"")</f>
        <v>Sewa dan Kerja Sama Operasional</v>
      </c>
      <c r="N89" s="40" t="str">
        <f>IFERROR(B37,"")</f>
        <v>Parkir</v>
      </c>
      <c r="O89" s="40" t="s">
        <v>743</v>
      </c>
    </row>
    <row r="90" spans="1:16" x14ac:dyDescent="0.3">
      <c r="B90" s="30" t="s">
        <v>744</v>
      </c>
      <c r="C90" s="42" t="str">
        <f>IFERROR(C26,"")</f>
        <v>jumlah_staf</v>
      </c>
      <c r="D90" s="42" t="str">
        <f>IFERROR(C27,"")</f>
        <v>jumlah_staf</v>
      </c>
      <c r="E90" s="42" t="str">
        <f>IFERROR(C28,"")</f>
        <v>jumlah_staf</v>
      </c>
      <c r="F90" s="42" t="str">
        <f>IFERROR(C29,"")</f>
        <v>jumlah_staf</v>
      </c>
      <c r="G90" s="42" t="str">
        <f>IFERROR(C30,"")</f>
        <v>luas_lantai</v>
      </c>
      <c r="H90" s="42" t="str">
        <f>IFERROR(C31,"")</f>
        <v>luas_lantai</v>
      </c>
      <c r="I90" s="42" t="str">
        <f>IFERROR(C32,"")</f>
        <v>jumlah_pasien</v>
      </c>
      <c r="J90" s="42" t="str">
        <f>IFERROR(C33,"")</f>
        <v>jumlah_staf</v>
      </c>
      <c r="K90" s="42" t="str">
        <f>IFERROR(C34,"")</f>
        <v>luas_lantai</v>
      </c>
      <c r="L90" s="42" t="str">
        <f>IFERROR(C35,"")</f>
        <v>luas_lantai</v>
      </c>
      <c r="M90" s="42" t="str">
        <f>IFERROR(C36,"")</f>
        <v>luas_lantai</v>
      </c>
      <c r="N90" s="42" t="str">
        <f>IFERROR(C37,"")</f>
        <v>jumlah_kunjungan</v>
      </c>
    </row>
    <row r="91" spans="1:16" x14ac:dyDescent="0.3">
      <c r="B91" s="30" t="s">
        <v>745</v>
      </c>
      <c r="C91" s="33" t="str">
        <f>IFERROR(D26,"")</f>
        <v/>
      </c>
      <c r="D91" s="33" t="str">
        <f>IFERROR(D27,"")</f>
        <v/>
      </c>
      <c r="E91" s="33" t="str">
        <f>IFERROR(D28,"")</f>
        <v/>
      </c>
      <c r="F91" s="33" t="str">
        <f>IFERROR(D29,"")</f>
        <v/>
      </c>
      <c r="G91" s="33" t="str">
        <f>IFERROR(D30,"")</f>
        <v/>
      </c>
      <c r="H91" s="33" t="str">
        <f>IFERROR(D31,"")</f>
        <v/>
      </c>
      <c r="I91" s="33" t="str">
        <f>IFERROR(D32,"")</f>
        <v/>
      </c>
      <c r="J91" s="33" t="str">
        <f>IFERROR(D33,"")</f>
        <v/>
      </c>
      <c r="K91" s="33" t="str">
        <f>IFERROR(D34,"")</f>
        <v/>
      </c>
      <c r="L91" s="33" t="str">
        <f>IFERROR(D35,"")</f>
        <v/>
      </c>
      <c r="M91" s="33" t="str">
        <f>IFERROR(D36,"")</f>
        <v/>
      </c>
      <c r="N91" s="33" t="str">
        <f>IFERROR(D37,"")</f>
        <v/>
      </c>
    </row>
    <row r="92" spans="1:16" x14ac:dyDescent="0.3">
      <c r="A92" s="28">
        <v>1</v>
      </c>
      <c r="B92" s="41" t="str">
        <f t="shared" ref="B92:B133" si="0">IFERROR(B43,"")</f>
        <v>Farmasi</v>
      </c>
      <c r="C92" s="33" t="str">
        <f t="shared" ref="C92:N92" si="1">IFERROR(C$91*INDEX($C43:$G43,MATCH(C$90,$C$42:$G$42,0))/SUM(INDEX($C$43:$G$84,0,MATCH(C$90,$C$42:$G$42,0))),"")</f>
        <v/>
      </c>
      <c r="D92" s="33" t="str">
        <f t="shared" si="1"/>
        <v/>
      </c>
      <c r="E92" s="33" t="str">
        <f t="shared" si="1"/>
        <v/>
      </c>
      <c r="F92" s="33" t="str">
        <f t="shared" si="1"/>
        <v/>
      </c>
      <c r="G92" s="33" t="str">
        <f t="shared" si="1"/>
        <v/>
      </c>
      <c r="H92" s="33" t="str">
        <f t="shared" si="1"/>
        <v/>
      </c>
      <c r="I92" s="33" t="str">
        <f t="shared" si="1"/>
        <v/>
      </c>
      <c r="J92" s="33" t="str">
        <f t="shared" si="1"/>
        <v/>
      </c>
      <c r="K92" s="33" t="str">
        <f t="shared" si="1"/>
        <v/>
      </c>
      <c r="L92" s="33" t="str">
        <f t="shared" si="1"/>
        <v/>
      </c>
      <c r="M92" s="33" t="str">
        <f t="shared" si="1"/>
        <v/>
      </c>
      <c r="N92" s="33" t="str">
        <f t="shared" si="1"/>
        <v/>
      </c>
      <c r="O92" s="33">
        <f t="shared" ref="O92:O133" si="2">IFERROR(SUM(C92:N92),"")</f>
        <v>0</v>
      </c>
    </row>
    <row r="93" spans="1:16" x14ac:dyDescent="0.3">
      <c r="A93" s="28">
        <v>2</v>
      </c>
      <c r="B93" s="41" t="str">
        <f t="shared" si="0"/>
        <v>Radiologi</v>
      </c>
      <c r="C93" s="33" t="str">
        <f t="shared" ref="C93:N93" si="3">IFERROR(C$91*INDEX($C44:$G44,MATCH(C$90,$C$42:$G$42,0))/SUM(INDEX($C$43:$G$84,0,MATCH(C$90,$C$42:$G$42,0))),"")</f>
        <v/>
      </c>
      <c r="D93" s="33" t="str">
        <f t="shared" si="3"/>
        <v/>
      </c>
      <c r="E93" s="33" t="str">
        <f t="shared" si="3"/>
        <v/>
      </c>
      <c r="F93" s="33" t="str">
        <f t="shared" si="3"/>
        <v/>
      </c>
      <c r="G93" s="33" t="str">
        <f t="shared" si="3"/>
        <v/>
      </c>
      <c r="H93" s="33" t="str">
        <f t="shared" si="3"/>
        <v/>
      </c>
      <c r="I93" s="33" t="str">
        <f t="shared" si="3"/>
        <v/>
      </c>
      <c r="J93" s="33" t="str">
        <f t="shared" si="3"/>
        <v/>
      </c>
      <c r="K93" s="33" t="str">
        <f t="shared" si="3"/>
        <v/>
      </c>
      <c r="L93" s="33" t="str">
        <f t="shared" si="3"/>
        <v/>
      </c>
      <c r="M93" s="33" t="str">
        <f t="shared" si="3"/>
        <v/>
      </c>
      <c r="N93" s="33" t="str">
        <f t="shared" si="3"/>
        <v/>
      </c>
      <c r="O93" s="33">
        <f t="shared" si="2"/>
        <v>0</v>
      </c>
    </row>
    <row r="94" spans="1:16" x14ac:dyDescent="0.3">
      <c r="A94" s="28">
        <v>3</v>
      </c>
      <c r="B94" s="41" t="str">
        <f t="shared" si="0"/>
        <v>Laboratorium</v>
      </c>
      <c r="C94" s="33" t="str">
        <f t="shared" ref="C94:N94" si="4">IFERROR(C$91*INDEX($C45:$G45,MATCH(C$90,$C$42:$G$42,0))/SUM(INDEX($C$43:$G$84,0,MATCH(C$90,$C$42:$G$42,0))),"")</f>
        <v/>
      </c>
      <c r="D94" s="33" t="str">
        <f t="shared" si="4"/>
        <v/>
      </c>
      <c r="E94" s="33" t="str">
        <f t="shared" si="4"/>
        <v/>
      </c>
      <c r="F94" s="33" t="str">
        <f t="shared" si="4"/>
        <v/>
      </c>
      <c r="G94" s="33" t="str">
        <f t="shared" si="4"/>
        <v/>
      </c>
      <c r="H94" s="33" t="str">
        <f t="shared" si="4"/>
        <v/>
      </c>
      <c r="I94" s="33" t="str">
        <f t="shared" si="4"/>
        <v/>
      </c>
      <c r="J94" s="33" t="str">
        <f t="shared" si="4"/>
        <v/>
      </c>
      <c r="K94" s="33" t="str">
        <f t="shared" si="4"/>
        <v/>
      </c>
      <c r="L94" s="33" t="str">
        <f t="shared" si="4"/>
        <v/>
      </c>
      <c r="M94" s="33" t="str">
        <f t="shared" si="4"/>
        <v/>
      </c>
      <c r="N94" s="33" t="str">
        <f t="shared" si="4"/>
        <v/>
      </c>
      <c r="O94" s="33">
        <f t="shared" si="2"/>
        <v>0</v>
      </c>
    </row>
    <row r="95" spans="1:16" x14ac:dyDescent="0.3">
      <c r="A95" s="28">
        <v>4</v>
      </c>
      <c r="B95" s="41" t="str">
        <f t="shared" si="0"/>
        <v>Rehabilitasi Medik</v>
      </c>
      <c r="C95" s="33" t="str">
        <f t="shared" ref="C95:N95" si="5">IFERROR(C$91*INDEX($C46:$G46,MATCH(C$90,$C$42:$G$42,0))/SUM(INDEX($C$43:$G$84,0,MATCH(C$90,$C$42:$G$42,0))),"")</f>
        <v/>
      </c>
      <c r="D95" s="33" t="str">
        <f t="shared" si="5"/>
        <v/>
      </c>
      <c r="E95" s="33" t="str">
        <f t="shared" si="5"/>
        <v/>
      </c>
      <c r="F95" s="33" t="str">
        <f t="shared" si="5"/>
        <v/>
      </c>
      <c r="G95" s="33" t="str">
        <f t="shared" si="5"/>
        <v/>
      </c>
      <c r="H95" s="33" t="str">
        <f t="shared" si="5"/>
        <v/>
      </c>
      <c r="I95" s="33" t="str">
        <f t="shared" si="5"/>
        <v/>
      </c>
      <c r="J95" s="33" t="str">
        <f t="shared" si="5"/>
        <v/>
      </c>
      <c r="K95" s="33" t="str">
        <f t="shared" si="5"/>
        <v/>
      </c>
      <c r="L95" s="33" t="str">
        <f t="shared" si="5"/>
        <v/>
      </c>
      <c r="M95" s="33" t="str">
        <f t="shared" si="5"/>
        <v/>
      </c>
      <c r="N95" s="33" t="str">
        <f t="shared" si="5"/>
        <v/>
      </c>
      <c r="O95" s="33">
        <f t="shared" si="2"/>
        <v>0</v>
      </c>
    </row>
    <row r="96" spans="1:16" x14ac:dyDescent="0.3">
      <c r="A96" s="28">
        <v>5</v>
      </c>
      <c r="B96" s="41" t="str">
        <f t="shared" si="0"/>
        <v>Rehabilitasi Psikososial</v>
      </c>
      <c r="C96" s="33" t="str">
        <f t="shared" ref="C96:N96" si="6">IFERROR(C$91*INDEX($C47:$G47,MATCH(C$90,$C$42:$G$42,0))/SUM(INDEX($C$43:$G$84,0,MATCH(C$90,$C$42:$G$42,0))),"")</f>
        <v/>
      </c>
      <c r="D96" s="33" t="str">
        <f t="shared" si="6"/>
        <v/>
      </c>
      <c r="E96" s="33" t="str">
        <f t="shared" si="6"/>
        <v/>
      </c>
      <c r="F96" s="33" t="str">
        <f t="shared" si="6"/>
        <v/>
      </c>
      <c r="G96" s="33" t="str">
        <f t="shared" si="6"/>
        <v/>
      </c>
      <c r="H96" s="33" t="str">
        <f t="shared" si="6"/>
        <v/>
      </c>
      <c r="I96" s="33" t="str">
        <f t="shared" si="6"/>
        <v/>
      </c>
      <c r="J96" s="33" t="str">
        <f t="shared" si="6"/>
        <v/>
      </c>
      <c r="K96" s="33" t="str">
        <f t="shared" si="6"/>
        <v/>
      </c>
      <c r="L96" s="33" t="str">
        <f t="shared" si="6"/>
        <v/>
      </c>
      <c r="M96" s="33" t="str">
        <f t="shared" si="6"/>
        <v/>
      </c>
      <c r="N96" s="33" t="str">
        <f t="shared" si="6"/>
        <v/>
      </c>
      <c r="O96" s="33">
        <f t="shared" si="2"/>
        <v>0</v>
      </c>
    </row>
    <row r="97" spans="1:15" x14ac:dyDescent="0.3">
      <c r="A97" s="28">
        <v>6</v>
      </c>
      <c r="B97" s="41" t="str">
        <f t="shared" si="0"/>
        <v>Instalasi Bedah Sentral (IBS)</v>
      </c>
      <c r="C97" s="33" t="str">
        <f t="shared" ref="C97:N97" si="7">IFERROR(C$91*INDEX($C48:$G48,MATCH(C$90,$C$42:$G$42,0))/SUM(INDEX($C$43:$G$84,0,MATCH(C$90,$C$42:$G$42,0))),"")</f>
        <v/>
      </c>
      <c r="D97" s="33" t="str">
        <f t="shared" si="7"/>
        <v/>
      </c>
      <c r="E97" s="33" t="str">
        <f t="shared" si="7"/>
        <v/>
      </c>
      <c r="F97" s="33" t="str">
        <f t="shared" si="7"/>
        <v/>
      </c>
      <c r="G97" s="33" t="str">
        <f t="shared" si="7"/>
        <v/>
      </c>
      <c r="H97" s="33" t="str">
        <f t="shared" si="7"/>
        <v/>
      </c>
      <c r="I97" s="33" t="str">
        <f t="shared" si="7"/>
        <v/>
      </c>
      <c r="J97" s="33" t="str">
        <f t="shared" si="7"/>
        <v/>
      </c>
      <c r="K97" s="33" t="str">
        <f t="shared" si="7"/>
        <v/>
      </c>
      <c r="L97" s="33" t="str">
        <f t="shared" si="7"/>
        <v/>
      </c>
      <c r="M97" s="33" t="str">
        <f t="shared" si="7"/>
        <v/>
      </c>
      <c r="N97" s="33" t="str">
        <f t="shared" si="7"/>
        <v/>
      </c>
      <c r="O97" s="33">
        <f t="shared" si="2"/>
        <v>0</v>
      </c>
    </row>
    <row r="98" spans="1:15" x14ac:dyDescent="0.3">
      <c r="A98" s="28">
        <v>7</v>
      </c>
      <c r="B98" s="41" t="str">
        <f t="shared" si="0"/>
        <v>Instalasi Gizi</v>
      </c>
      <c r="C98" s="33" t="str">
        <f t="shared" ref="C98:N98" si="8">IFERROR(C$91*INDEX($C49:$G49,MATCH(C$90,$C$42:$G$42,0))/SUM(INDEX($C$43:$G$84,0,MATCH(C$90,$C$42:$G$42,0))),"")</f>
        <v/>
      </c>
      <c r="D98" s="33" t="str">
        <f t="shared" si="8"/>
        <v/>
      </c>
      <c r="E98" s="33" t="str">
        <f t="shared" si="8"/>
        <v/>
      </c>
      <c r="F98" s="33" t="str">
        <f t="shared" si="8"/>
        <v/>
      </c>
      <c r="G98" s="33" t="str">
        <f t="shared" si="8"/>
        <v/>
      </c>
      <c r="H98" s="33" t="str">
        <f t="shared" si="8"/>
        <v/>
      </c>
      <c r="I98" s="33" t="str">
        <f t="shared" si="8"/>
        <v/>
      </c>
      <c r="J98" s="33" t="str">
        <f t="shared" si="8"/>
        <v/>
      </c>
      <c r="K98" s="33" t="str">
        <f t="shared" si="8"/>
        <v/>
      </c>
      <c r="L98" s="33" t="str">
        <f t="shared" si="8"/>
        <v/>
      </c>
      <c r="M98" s="33" t="str">
        <f t="shared" si="8"/>
        <v/>
      </c>
      <c r="N98" s="33" t="str">
        <f t="shared" si="8"/>
        <v/>
      </c>
      <c r="O98" s="33">
        <f t="shared" si="2"/>
        <v>0</v>
      </c>
    </row>
    <row r="99" spans="1:15" x14ac:dyDescent="0.3">
      <c r="A99" s="28">
        <v>8</v>
      </c>
      <c r="B99" s="41" t="str">
        <f t="shared" si="0"/>
        <v>Laundry Rumah Sakit</v>
      </c>
      <c r="C99" s="33" t="str">
        <f t="shared" ref="C99:N99" si="9">IFERROR(C$91*INDEX($C50:$G50,MATCH(C$90,$C$42:$G$42,0))/SUM(INDEX($C$43:$G$84,0,MATCH(C$90,$C$42:$G$42,0))),"")</f>
        <v/>
      </c>
      <c r="D99" s="33" t="str">
        <f t="shared" si="9"/>
        <v/>
      </c>
      <c r="E99" s="33" t="str">
        <f t="shared" si="9"/>
        <v/>
      </c>
      <c r="F99" s="33" t="str">
        <f t="shared" si="9"/>
        <v/>
      </c>
      <c r="G99" s="33" t="str">
        <f t="shared" si="9"/>
        <v/>
      </c>
      <c r="H99" s="33" t="str">
        <f t="shared" si="9"/>
        <v/>
      </c>
      <c r="I99" s="33" t="str">
        <f t="shared" si="9"/>
        <v/>
      </c>
      <c r="J99" s="33" t="str">
        <f t="shared" si="9"/>
        <v/>
      </c>
      <c r="K99" s="33" t="str">
        <f t="shared" si="9"/>
        <v/>
      </c>
      <c r="L99" s="33" t="str">
        <f t="shared" si="9"/>
        <v/>
      </c>
      <c r="M99" s="33" t="str">
        <f t="shared" si="9"/>
        <v/>
      </c>
      <c r="N99" s="33" t="str">
        <f t="shared" si="9"/>
        <v/>
      </c>
      <c r="O99" s="33">
        <f t="shared" si="2"/>
        <v>0</v>
      </c>
    </row>
    <row r="100" spans="1:15" x14ac:dyDescent="0.3">
      <c r="A100" s="28">
        <v>9</v>
      </c>
      <c r="B100" s="41" t="str">
        <f t="shared" si="0"/>
        <v>Unit Sterilisasi Alat (CSSD)</v>
      </c>
      <c r="C100" s="33" t="str">
        <f t="shared" ref="C100:N100" si="10">IFERROR(C$91*INDEX($C51:$G51,MATCH(C$90,$C$42:$G$42,0))/SUM(INDEX($C$43:$G$84,0,MATCH(C$90,$C$42:$G$42,0))),"")</f>
        <v/>
      </c>
      <c r="D100" s="33" t="str">
        <f t="shared" si="10"/>
        <v/>
      </c>
      <c r="E100" s="33" t="str">
        <f t="shared" si="10"/>
        <v/>
      </c>
      <c r="F100" s="33" t="str">
        <f t="shared" si="10"/>
        <v/>
      </c>
      <c r="G100" s="33" t="str">
        <f t="shared" si="10"/>
        <v/>
      </c>
      <c r="H100" s="33" t="str">
        <f t="shared" si="10"/>
        <v/>
      </c>
      <c r="I100" s="33" t="str">
        <f t="shared" si="10"/>
        <v/>
      </c>
      <c r="J100" s="33" t="str">
        <f t="shared" si="10"/>
        <v/>
      </c>
      <c r="K100" s="33" t="str">
        <f t="shared" si="10"/>
        <v/>
      </c>
      <c r="L100" s="33" t="str">
        <f t="shared" si="10"/>
        <v/>
      </c>
      <c r="M100" s="33" t="str">
        <f t="shared" si="10"/>
        <v/>
      </c>
      <c r="N100" s="33" t="str">
        <f t="shared" si="10"/>
        <v/>
      </c>
      <c r="O100" s="33">
        <f t="shared" si="2"/>
        <v>0</v>
      </c>
    </row>
    <row r="101" spans="1:15" x14ac:dyDescent="0.3">
      <c r="A101" s="28">
        <v>10</v>
      </c>
      <c r="B101" s="41" t="str">
        <f t="shared" si="0"/>
        <v>Gas Medis</v>
      </c>
      <c r="C101" s="33" t="str">
        <f t="shared" ref="C101:N101" si="11">IFERROR(C$91*INDEX($C52:$G52,MATCH(C$90,$C$42:$G$42,0))/SUM(INDEX($C$43:$G$84,0,MATCH(C$90,$C$42:$G$42,0))),"")</f>
        <v/>
      </c>
      <c r="D101" s="33" t="str">
        <f t="shared" si="11"/>
        <v/>
      </c>
      <c r="E101" s="33" t="str">
        <f t="shared" si="11"/>
        <v/>
      </c>
      <c r="F101" s="33" t="str">
        <f t="shared" si="11"/>
        <v/>
      </c>
      <c r="G101" s="33" t="str">
        <f t="shared" si="11"/>
        <v/>
      </c>
      <c r="H101" s="33" t="str">
        <f t="shared" si="11"/>
        <v/>
      </c>
      <c r="I101" s="33" t="str">
        <f t="shared" si="11"/>
        <v/>
      </c>
      <c r="J101" s="33" t="str">
        <f t="shared" si="11"/>
        <v/>
      </c>
      <c r="K101" s="33" t="str">
        <f t="shared" si="11"/>
        <v/>
      </c>
      <c r="L101" s="33" t="str">
        <f t="shared" si="11"/>
        <v/>
      </c>
      <c r="M101" s="33" t="str">
        <f t="shared" si="11"/>
        <v/>
      </c>
      <c r="N101" s="33" t="str">
        <f t="shared" si="11"/>
        <v/>
      </c>
      <c r="O101" s="33">
        <f t="shared" si="2"/>
        <v>0</v>
      </c>
    </row>
    <row r="102" spans="1:15" x14ac:dyDescent="0.3">
      <c r="A102" s="28">
        <v>11</v>
      </c>
      <c r="B102" s="41" t="str">
        <f t="shared" si="0"/>
        <v>Bank Darah</v>
      </c>
      <c r="C102" s="33" t="str">
        <f t="shared" ref="C102:N102" si="12">IFERROR(C$91*INDEX($C53:$G53,MATCH(C$90,$C$42:$G$42,0))/SUM(INDEX($C$43:$G$84,0,MATCH(C$90,$C$42:$G$42,0))),"")</f>
        <v/>
      </c>
      <c r="D102" s="33" t="str">
        <f t="shared" si="12"/>
        <v/>
      </c>
      <c r="E102" s="33" t="str">
        <f t="shared" si="12"/>
        <v/>
      </c>
      <c r="F102" s="33" t="str">
        <f t="shared" si="12"/>
        <v/>
      </c>
      <c r="G102" s="33" t="str">
        <f t="shared" si="12"/>
        <v/>
      </c>
      <c r="H102" s="33" t="str">
        <f t="shared" si="12"/>
        <v/>
      </c>
      <c r="I102" s="33" t="str">
        <f t="shared" si="12"/>
        <v/>
      </c>
      <c r="J102" s="33" t="str">
        <f t="shared" si="12"/>
        <v/>
      </c>
      <c r="K102" s="33" t="str">
        <f t="shared" si="12"/>
        <v/>
      </c>
      <c r="L102" s="33" t="str">
        <f t="shared" si="12"/>
        <v/>
      </c>
      <c r="M102" s="33" t="str">
        <f t="shared" si="12"/>
        <v/>
      </c>
      <c r="N102" s="33" t="str">
        <f t="shared" si="12"/>
        <v/>
      </c>
      <c r="O102" s="33">
        <f t="shared" si="2"/>
        <v>0</v>
      </c>
    </row>
    <row r="103" spans="1:15" x14ac:dyDescent="0.3">
      <c r="A103" s="28">
        <v>12</v>
      </c>
      <c r="B103" s="41" t="str">
        <f t="shared" si="0"/>
        <v>Bank Jaringan</v>
      </c>
      <c r="C103" s="33" t="str">
        <f t="shared" ref="C103:N103" si="13">IFERROR(C$91*INDEX($C54:$G54,MATCH(C$90,$C$42:$G$42,0))/SUM(INDEX($C$43:$G$84,0,MATCH(C$90,$C$42:$G$42,0))),"")</f>
        <v/>
      </c>
      <c r="D103" s="33" t="str">
        <f t="shared" si="13"/>
        <v/>
      </c>
      <c r="E103" s="33" t="str">
        <f t="shared" si="13"/>
        <v/>
      </c>
      <c r="F103" s="33" t="str">
        <f t="shared" si="13"/>
        <v/>
      </c>
      <c r="G103" s="33" t="str">
        <f t="shared" si="13"/>
        <v/>
      </c>
      <c r="H103" s="33" t="str">
        <f t="shared" si="13"/>
        <v/>
      </c>
      <c r="I103" s="33" t="str">
        <f t="shared" si="13"/>
        <v/>
      </c>
      <c r="J103" s="33" t="str">
        <f t="shared" si="13"/>
        <v/>
      </c>
      <c r="K103" s="33" t="str">
        <f t="shared" si="13"/>
        <v/>
      </c>
      <c r="L103" s="33" t="str">
        <f t="shared" si="13"/>
        <v/>
      </c>
      <c r="M103" s="33" t="str">
        <f t="shared" si="13"/>
        <v/>
      </c>
      <c r="N103" s="33" t="str">
        <f t="shared" si="13"/>
        <v/>
      </c>
      <c r="O103" s="33">
        <f t="shared" si="2"/>
        <v>0</v>
      </c>
    </row>
    <row r="104" spans="1:15" x14ac:dyDescent="0.3">
      <c r="A104" s="28">
        <v>13</v>
      </c>
      <c r="B104" s="41" t="str">
        <f t="shared" si="0"/>
        <v>Kamar Rawat Inap Standar (KRIS) C</v>
      </c>
      <c r="C104" s="33" t="str">
        <f t="shared" ref="C104:N104" si="14">IFERROR(C$91*INDEX($C55:$G55,MATCH(C$90,$C$42:$G$42,0))/SUM(INDEX($C$43:$G$84,0,MATCH(C$90,$C$42:$G$42,0))),"")</f>
        <v/>
      </c>
      <c r="D104" s="33" t="str">
        <f t="shared" si="14"/>
        <v/>
      </c>
      <c r="E104" s="33" t="str">
        <f t="shared" si="14"/>
        <v/>
      </c>
      <c r="F104" s="33" t="str">
        <f t="shared" si="14"/>
        <v/>
      </c>
      <c r="G104" s="33" t="str">
        <f t="shared" si="14"/>
        <v/>
      </c>
      <c r="H104" s="33" t="str">
        <f t="shared" si="14"/>
        <v/>
      </c>
      <c r="I104" s="33" t="str">
        <f t="shared" si="14"/>
        <v/>
      </c>
      <c r="J104" s="33" t="str">
        <f t="shared" si="14"/>
        <v/>
      </c>
      <c r="K104" s="33" t="str">
        <f t="shared" si="14"/>
        <v/>
      </c>
      <c r="L104" s="33" t="str">
        <f t="shared" si="14"/>
        <v/>
      </c>
      <c r="M104" s="33" t="str">
        <f t="shared" si="14"/>
        <v/>
      </c>
      <c r="N104" s="33" t="str">
        <f t="shared" si="14"/>
        <v/>
      </c>
      <c r="O104" s="33">
        <f t="shared" si="2"/>
        <v>0</v>
      </c>
    </row>
    <row r="105" spans="1:15" x14ac:dyDescent="0.3">
      <c r="A105" s="28">
        <v>14</v>
      </c>
      <c r="B105" s="41" t="str">
        <f t="shared" si="0"/>
        <v>Kamar Rawat Inap Standar (KRIS) B</v>
      </c>
      <c r="C105" s="33" t="str">
        <f t="shared" ref="C105:N105" si="15">IFERROR(C$91*INDEX($C56:$G56,MATCH(C$90,$C$42:$G$42,0))/SUM(INDEX($C$43:$G$84,0,MATCH(C$90,$C$42:$G$42,0))),"")</f>
        <v/>
      </c>
      <c r="D105" s="33" t="str">
        <f t="shared" si="15"/>
        <v/>
      </c>
      <c r="E105" s="33" t="str">
        <f t="shared" si="15"/>
        <v/>
      </c>
      <c r="F105" s="33" t="str">
        <f t="shared" si="15"/>
        <v/>
      </c>
      <c r="G105" s="33" t="str">
        <f t="shared" si="15"/>
        <v/>
      </c>
      <c r="H105" s="33" t="str">
        <f t="shared" si="15"/>
        <v/>
      </c>
      <c r="I105" s="33" t="str">
        <f t="shared" si="15"/>
        <v/>
      </c>
      <c r="J105" s="33" t="str">
        <f t="shared" si="15"/>
        <v/>
      </c>
      <c r="K105" s="33" t="str">
        <f t="shared" si="15"/>
        <v/>
      </c>
      <c r="L105" s="33" t="str">
        <f t="shared" si="15"/>
        <v/>
      </c>
      <c r="M105" s="33" t="str">
        <f t="shared" si="15"/>
        <v/>
      </c>
      <c r="N105" s="33" t="str">
        <f t="shared" si="15"/>
        <v/>
      </c>
      <c r="O105" s="33">
        <f t="shared" si="2"/>
        <v>0</v>
      </c>
    </row>
    <row r="106" spans="1:15" x14ac:dyDescent="0.3">
      <c r="A106" s="28">
        <v>15</v>
      </c>
      <c r="B106" s="41" t="str">
        <f t="shared" si="0"/>
        <v>Kamar Rawat Inap Standar (KRIS) A</v>
      </c>
      <c r="C106" s="33" t="str">
        <f t="shared" ref="C106:N106" si="16">IFERROR(C$91*INDEX($C57:$G57,MATCH(C$90,$C$42:$G$42,0))/SUM(INDEX($C$43:$G$84,0,MATCH(C$90,$C$42:$G$42,0))),"")</f>
        <v/>
      </c>
      <c r="D106" s="33" t="str">
        <f t="shared" si="16"/>
        <v/>
      </c>
      <c r="E106" s="33" t="str">
        <f t="shared" si="16"/>
        <v/>
      </c>
      <c r="F106" s="33" t="str">
        <f t="shared" si="16"/>
        <v/>
      </c>
      <c r="G106" s="33" t="str">
        <f t="shared" si="16"/>
        <v/>
      </c>
      <c r="H106" s="33" t="str">
        <f t="shared" si="16"/>
        <v/>
      </c>
      <c r="I106" s="33" t="str">
        <f t="shared" si="16"/>
        <v/>
      </c>
      <c r="J106" s="33" t="str">
        <f t="shared" si="16"/>
        <v/>
      </c>
      <c r="K106" s="33" t="str">
        <f t="shared" si="16"/>
        <v/>
      </c>
      <c r="L106" s="33" t="str">
        <f t="shared" si="16"/>
        <v/>
      </c>
      <c r="M106" s="33" t="str">
        <f t="shared" si="16"/>
        <v/>
      </c>
      <c r="N106" s="33" t="str">
        <f t="shared" si="16"/>
        <v/>
      </c>
      <c r="O106" s="33">
        <f t="shared" si="2"/>
        <v>0</v>
      </c>
    </row>
    <row r="107" spans="1:15" x14ac:dyDescent="0.3">
      <c r="A107" s="28">
        <v>16</v>
      </c>
      <c r="B107" s="41" t="str">
        <f t="shared" si="0"/>
        <v>Kamar VIP/VVIP/Suite</v>
      </c>
      <c r="C107" s="33" t="str">
        <f t="shared" ref="C107:N107" si="17">IFERROR(C$91*INDEX($C58:$G58,MATCH(C$90,$C$42:$G$42,0))/SUM(INDEX($C$43:$G$84,0,MATCH(C$90,$C$42:$G$42,0))),"")</f>
        <v/>
      </c>
      <c r="D107" s="33" t="str">
        <f t="shared" si="17"/>
        <v/>
      </c>
      <c r="E107" s="33" t="str">
        <f t="shared" si="17"/>
        <v/>
      </c>
      <c r="F107" s="33" t="str">
        <f t="shared" si="17"/>
        <v/>
      </c>
      <c r="G107" s="33" t="str">
        <f t="shared" si="17"/>
        <v/>
      </c>
      <c r="H107" s="33" t="str">
        <f t="shared" si="17"/>
        <v/>
      </c>
      <c r="I107" s="33" t="str">
        <f t="shared" si="17"/>
        <v/>
      </c>
      <c r="J107" s="33" t="str">
        <f t="shared" si="17"/>
        <v/>
      </c>
      <c r="K107" s="33" t="str">
        <f t="shared" si="17"/>
        <v/>
      </c>
      <c r="L107" s="33" t="str">
        <f t="shared" si="17"/>
        <v/>
      </c>
      <c r="M107" s="33" t="str">
        <f t="shared" si="17"/>
        <v/>
      </c>
      <c r="N107" s="33" t="str">
        <f t="shared" si="17"/>
        <v/>
      </c>
      <c r="O107" s="33">
        <f t="shared" si="2"/>
        <v>0</v>
      </c>
    </row>
    <row r="108" spans="1:15" x14ac:dyDescent="0.3">
      <c r="A108" s="28">
        <v>17</v>
      </c>
      <c r="B108" s="41" t="str">
        <f t="shared" si="0"/>
        <v>Kamar ICU/ICCU/NICU/PICU/HCU</v>
      </c>
      <c r="C108" s="33" t="str">
        <f t="shared" ref="C108:N108" si="18">IFERROR(C$91*INDEX($C59:$G59,MATCH(C$90,$C$42:$G$42,0))/SUM(INDEX($C$43:$G$84,0,MATCH(C$90,$C$42:$G$42,0))),"")</f>
        <v/>
      </c>
      <c r="D108" s="33" t="str">
        <f t="shared" si="18"/>
        <v/>
      </c>
      <c r="E108" s="33" t="str">
        <f t="shared" si="18"/>
        <v/>
      </c>
      <c r="F108" s="33" t="str">
        <f t="shared" si="18"/>
        <v/>
      </c>
      <c r="G108" s="33" t="str">
        <f t="shared" si="18"/>
        <v/>
      </c>
      <c r="H108" s="33" t="str">
        <f t="shared" si="18"/>
        <v/>
      </c>
      <c r="I108" s="33" t="str">
        <f t="shared" si="18"/>
        <v/>
      </c>
      <c r="J108" s="33" t="str">
        <f t="shared" si="18"/>
        <v/>
      </c>
      <c r="K108" s="33" t="str">
        <f t="shared" si="18"/>
        <v/>
      </c>
      <c r="L108" s="33" t="str">
        <f t="shared" si="18"/>
        <v/>
      </c>
      <c r="M108" s="33" t="str">
        <f t="shared" si="18"/>
        <v/>
      </c>
      <c r="N108" s="33" t="str">
        <f t="shared" si="18"/>
        <v/>
      </c>
      <c r="O108" s="33">
        <f t="shared" si="2"/>
        <v>0</v>
      </c>
    </row>
    <row r="109" spans="1:15" x14ac:dyDescent="0.3">
      <c r="A109" s="28">
        <v>18</v>
      </c>
      <c r="B109" s="41" t="str">
        <f t="shared" si="0"/>
        <v>Instalasi Gawat Darurat (IGD)</v>
      </c>
      <c r="C109" s="33" t="str">
        <f t="shared" ref="C109:N109" si="19">IFERROR(C$91*INDEX($C60:$G60,MATCH(C$90,$C$42:$G$42,0))/SUM(INDEX($C$43:$G$84,0,MATCH(C$90,$C$42:$G$42,0))),"")</f>
        <v/>
      </c>
      <c r="D109" s="33" t="str">
        <f t="shared" si="19"/>
        <v/>
      </c>
      <c r="E109" s="33" t="str">
        <f t="shared" si="19"/>
        <v/>
      </c>
      <c r="F109" s="33" t="str">
        <f t="shared" si="19"/>
        <v/>
      </c>
      <c r="G109" s="33" t="str">
        <f t="shared" si="19"/>
        <v/>
      </c>
      <c r="H109" s="33" t="str">
        <f t="shared" si="19"/>
        <v/>
      </c>
      <c r="I109" s="33" t="str">
        <f t="shared" si="19"/>
        <v/>
      </c>
      <c r="J109" s="33" t="str">
        <f t="shared" si="19"/>
        <v/>
      </c>
      <c r="K109" s="33" t="str">
        <f t="shared" si="19"/>
        <v/>
      </c>
      <c r="L109" s="33" t="str">
        <f t="shared" si="19"/>
        <v/>
      </c>
      <c r="M109" s="33" t="str">
        <f t="shared" si="19"/>
        <v/>
      </c>
      <c r="N109" s="33" t="str">
        <f t="shared" si="19"/>
        <v/>
      </c>
      <c r="O109" s="33">
        <f t="shared" si="2"/>
        <v>0</v>
      </c>
    </row>
    <row r="110" spans="1:15" x14ac:dyDescent="0.3">
      <c r="A110" s="28">
        <v>19</v>
      </c>
      <c r="B110" s="41" t="str">
        <f t="shared" si="0"/>
        <v>Neoplasma dan Myeloproliferative</v>
      </c>
      <c r="C110" s="33" t="str">
        <f t="shared" ref="C110:N110" si="20">IFERROR(C$91*INDEX($C61:$G61,MATCH(C$90,$C$42:$G$42,0))/SUM(INDEX($C$43:$G$84,0,MATCH(C$90,$C$42:$G$42,0))),"")</f>
        <v/>
      </c>
      <c r="D110" s="33" t="str">
        <f t="shared" si="20"/>
        <v/>
      </c>
      <c r="E110" s="33" t="str">
        <f t="shared" si="20"/>
        <v/>
      </c>
      <c r="F110" s="33" t="str">
        <f t="shared" si="20"/>
        <v/>
      </c>
      <c r="G110" s="33" t="str">
        <f t="shared" si="20"/>
        <v/>
      </c>
      <c r="H110" s="33" t="str">
        <f t="shared" si="20"/>
        <v/>
      </c>
      <c r="I110" s="33" t="str">
        <f t="shared" si="20"/>
        <v/>
      </c>
      <c r="J110" s="33" t="str">
        <f t="shared" si="20"/>
        <v/>
      </c>
      <c r="K110" s="33" t="str">
        <f t="shared" si="20"/>
        <v/>
      </c>
      <c r="L110" s="33" t="str">
        <f t="shared" si="20"/>
        <v/>
      </c>
      <c r="M110" s="33" t="str">
        <f t="shared" si="20"/>
        <v/>
      </c>
      <c r="N110" s="33" t="str">
        <f t="shared" si="20"/>
        <v/>
      </c>
      <c r="O110" s="33">
        <f t="shared" si="2"/>
        <v>0</v>
      </c>
    </row>
    <row r="111" spans="1:15" x14ac:dyDescent="0.3">
      <c r="A111" s="28">
        <v>20</v>
      </c>
      <c r="B111" s="41" t="str">
        <f t="shared" si="0"/>
        <v>Jantung dan Pembuluh Darah</v>
      </c>
      <c r="C111" s="33" t="str">
        <f t="shared" ref="C111:N111" si="21">IFERROR(C$91*INDEX($C62:$G62,MATCH(C$90,$C$42:$G$42,0))/SUM(INDEX($C$43:$G$84,0,MATCH(C$90,$C$42:$G$42,0))),"")</f>
        <v/>
      </c>
      <c r="D111" s="33" t="str">
        <f t="shared" si="21"/>
        <v/>
      </c>
      <c r="E111" s="33" t="str">
        <f t="shared" si="21"/>
        <v/>
      </c>
      <c r="F111" s="33" t="str">
        <f t="shared" si="21"/>
        <v/>
      </c>
      <c r="G111" s="33" t="str">
        <f t="shared" si="21"/>
        <v/>
      </c>
      <c r="H111" s="33" t="str">
        <f t="shared" si="21"/>
        <v/>
      </c>
      <c r="I111" s="33" t="str">
        <f t="shared" si="21"/>
        <v/>
      </c>
      <c r="J111" s="33" t="str">
        <f t="shared" si="21"/>
        <v/>
      </c>
      <c r="K111" s="33" t="str">
        <f t="shared" si="21"/>
        <v/>
      </c>
      <c r="L111" s="33" t="str">
        <f t="shared" si="21"/>
        <v/>
      </c>
      <c r="M111" s="33" t="str">
        <f t="shared" si="21"/>
        <v/>
      </c>
      <c r="N111" s="33" t="str">
        <f t="shared" si="21"/>
        <v/>
      </c>
      <c r="O111" s="33">
        <f t="shared" si="2"/>
        <v>0</v>
      </c>
    </row>
    <row r="112" spans="1:15" x14ac:dyDescent="0.3">
      <c r="A112" s="28">
        <v>21</v>
      </c>
      <c r="B112" s="41" t="str">
        <f t="shared" si="0"/>
        <v>Saraf / Neuroscience</v>
      </c>
      <c r="C112" s="33" t="str">
        <f t="shared" ref="C112:N112" si="22">IFERROR(C$91*INDEX($C63:$G63,MATCH(C$90,$C$42:$G$42,0))/SUM(INDEX($C$43:$G$84,0,MATCH(C$90,$C$42:$G$42,0))),"")</f>
        <v/>
      </c>
      <c r="D112" s="33" t="str">
        <f t="shared" si="22"/>
        <v/>
      </c>
      <c r="E112" s="33" t="str">
        <f t="shared" si="22"/>
        <v/>
      </c>
      <c r="F112" s="33" t="str">
        <f t="shared" si="22"/>
        <v/>
      </c>
      <c r="G112" s="33" t="str">
        <f t="shared" si="22"/>
        <v/>
      </c>
      <c r="H112" s="33" t="str">
        <f t="shared" si="22"/>
        <v/>
      </c>
      <c r="I112" s="33" t="str">
        <f t="shared" si="22"/>
        <v/>
      </c>
      <c r="J112" s="33" t="str">
        <f t="shared" si="22"/>
        <v/>
      </c>
      <c r="K112" s="33" t="str">
        <f t="shared" si="22"/>
        <v/>
      </c>
      <c r="L112" s="33" t="str">
        <f t="shared" si="22"/>
        <v/>
      </c>
      <c r="M112" s="33" t="str">
        <f t="shared" si="22"/>
        <v/>
      </c>
      <c r="N112" s="33" t="str">
        <f t="shared" si="22"/>
        <v/>
      </c>
      <c r="O112" s="33">
        <f t="shared" si="2"/>
        <v>0</v>
      </c>
    </row>
    <row r="113" spans="1:15" x14ac:dyDescent="0.3">
      <c r="A113" s="28">
        <v>22</v>
      </c>
      <c r="B113" s="41" t="str">
        <f t="shared" si="0"/>
        <v>Kesehatan Ibu dan Ginekologi</v>
      </c>
      <c r="C113" s="33" t="str">
        <f t="shared" ref="C113:N113" si="23">IFERROR(C$91*INDEX($C64:$G64,MATCH(C$90,$C$42:$G$42,0))/SUM(INDEX($C$43:$G$84,0,MATCH(C$90,$C$42:$G$42,0))),"")</f>
        <v/>
      </c>
      <c r="D113" s="33" t="str">
        <f t="shared" si="23"/>
        <v/>
      </c>
      <c r="E113" s="33" t="str">
        <f t="shared" si="23"/>
        <v/>
      </c>
      <c r="F113" s="33" t="str">
        <f t="shared" si="23"/>
        <v/>
      </c>
      <c r="G113" s="33" t="str">
        <f t="shared" si="23"/>
        <v/>
      </c>
      <c r="H113" s="33" t="str">
        <f t="shared" si="23"/>
        <v/>
      </c>
      <c r="I113" s="33" t="str">
        <f t="shared" si="23"/>
        <v/>
      </c>
      <c r="J113" s="33" t="str">
        <f t="shared" si="23"/>
        <v/>
      </c>
      <c r="K113" s="33" t="str">
        <f t="shared" si="23"/>
        <v/>
      </c>
      <c r="L113" s="33" t="str">
        <f t="shared" si="23"/>
        <v/>
      </c>
      <c r="M113" s="33" t="str">
        <f t="shared" si="23"/>
        <v/>
      </c>
      <c r="N113" s="33" t="str">
        <f t="shared" si="23"/>
        <v/>
      </c>
      <c r="O113" s="33">
        <f t="shared" si="2"/>
        <v>0</v>
      </c>
    </row>
    <row r="114" spans="1:15" x14ac:dyDescent="0.3">
      <c r="A114" s="28">
        <v>23</v>
      </c>
      <c r="B114" s="41" t="str">
        <f t="shared" si="0"/>
        <v>Kesehatan Neonatus</v>
      </c>
      <c r="C114" s="33" t="str">
        <f t="shared" ref="C114:N114" si="24">IFERROR(C$91*INDEX($C65:$G65,MATCH(C$90,$C$42:$G$42,0))/SUM(INDEX($C$43:$G$84,0,MATCH(C$90,$C$42:$G$42,0))),"")</f>
        <v/>
      </c>
      <c r="D114" s="33" t="str">
        <f t="shared" si="24"/>
        <v/>
      </c>
      <c r="E114" s="33" t="str">
        <f t="shared" si="24"/>
        <v/>
      </c>
      <c r="F114" s="33" t="str">
        <f t="shared" si="24"/>
        <v/>
      </c>
      <c r="G114" s="33" t="str">
        <f t="shared" si="24"/>
        <v/>
      </c>
      <c r="H114" s="33" t="str">
        <f t="shared" si="24"/>
        <v/>
      </c>
      <c r="I114" s="33" t="str">
        <f t="shared" si="24"/>
        <v/>
      </c>
      <c r="J114" s="33" t="str">
        <f t="shared" si="24"/>
        <v/>
      </c>
      <c r="K114" s="33" t="str">
        <f t="shared" si="24"/>
        <v/>
      </c>
      <c r="L114" s="33" t="str">
        <f t="shared" si="24"/>
        <v/>
      </c>
      <c r="M114" s="33" t="str">
        <f t="shared" si="24"/>
        <v/>
      </c>
      <c r="N114" s="33" t="str">
        <f t="shared" si="24"/>
        <v/>
      </c>
      <c r="O114" s="33">
        <f t="shared" si="2"/>
        <v>0</v>
      </c>
    </row>
    <row r="115" spans="1:15" x14ac:dyDescent="0.3">
      <c r="A115" s="28">
        <v>24</v>
      </c>
      <c r="B115" s="41" t="str">
        <f t="shared" si="0"/>
        <v>Sistem Pencernaan dan Hepatobiliar</v>
      </c>
      <c r="C115" s="33" t="str">
        <f t="shared" ref="C115:N115" si="25">IFERROR(C$91*INDEX($C66:$G66,MATCH(C$90,$C$42:$G$42,0))/SUM(INDEX($C$43:$G$84,0,MATCH(C$90,$C$42:$G$42,0))),"")</f>
        <v/>
      </c>
      <c r="D115" s="33" t="str">
        <f t="shared" si="25"/>
        <v/>
      </c>
      <c r="E115" s="33" t="str">
        <f t="shared" si="25"/>
        <v/>
      </c>
      <c r="F115" s="33" t="str">
        <f t="shared" si="25"/>
        <v/>
      </c>
      <c r="G115" s="33" t="str">
        <f t="shared" si="25"/>
        <v/>
      </c>
      <c r="H115" s="33" t="str">
        <f t="shared" si="25"/>
        <v/>
      </c>
      <c r="I115" s="33" t="str">
        <f t="shared" si="25"/>
        <v/>
      </c>
      <c r="J115" s="33" t="str">
        <f t="shared" si="25"/>
        <v/>
      </c>
      <c r="K115" s="33" t="str">
        <f t="shared" si="25"/>
        <v/>
      </c>
      <c r="L115" s="33" t="str">
        <f t="shared" si="25"/>
        <v/>
      </c>
      <c r="M115" s="33" t="str">
        <f t="shared" si="25"/>
        <v/>
      </c>
      <c r="N115" s="33" t="str">
        <f t="shared" si="25"/>
        <v/>
      </c>
      <c r="O115" s="33">
        <f t="shared" si="2"/>
        <v>0</v>
      </c>
    </row>
    <row r="116" spans="1:15" x14ac:dyDescent="0.3">
      <c r="A116" s="28">
        <v>25</v>
      </c>
      <c r="B116" s="41" t="str">
        <f t="shared" si="0"/>
        <v>Uronefro (Urologi dan Nefrologi)</v>
      </c>
      <c r="C116" s="33" t="str">
        <f t="shared" ref="C116:N116" si="26">IFERROR(C$91*INDEX($C67:$G67,MATCH(C$90,$C$42:$G$42,0))/SUM(INDEX($C$43:$G$84,0,MATCH(C$90,$C$42:$G$42,0))),"")</f>
        <v/>
      </c>
      <c r="D116" s="33" t="str">
        <f t="shared" si="26"/>
        <v/>
      </c>
      <c r="E116" s="33" t="str">
        <f t="shared" si="26"/>
        <v/>
      </c>
      <c r="F116" s="33" t="str">
        <f t="shared" si="26"/>
        <v/>
      </c>
      <c r="G116" s="33" t="str">
        <f t="shared" si="26"/>
        <v/>
      </c>
      <c r="H116" s="33" t="str">
        <f t="shared" si="26"/>
        <v/>
      </c>
      <c r="I116" s="33" t="str">
        <f t="shared" si="26"/>
        <v/>
      </c>
      <c r="J116" s="33" t="str">
        <f t="shared" si="26"/>
        <v/>
      </c>
      <c r="K116" s="33" t="str">
        <f t="shared" si="26"/>
        <v/>
      </c>
      <c r="L116" s="33" t="str">
        <f t="shared" si="26"/>
        <v/>
      </c>
      <c r="M116" s="33" t="str">
        <f t="shared" si="26"/>
        <v/>
      </c>
      <c r="N116" s="33" t="str">
        <f t="shared" si="26"/>
        <v/>
      </c>
      <c r="O116" s="33">
        <f t="shared" si="2"/>
        <v>0</v>
      </c>
    </row>
    <row r="117" spans="1:15" x14ac:dyDescent="0.3">
      <c r="A117" s="28">
        <v>26</v>
      </c>
      <c r="B117" s="41" t="str">
        <f t="shared" si="0"/>
        <v>Musculoskeletal dan Jaringan Lunak</v>
      </c>
      <c r="C117" s="33" t="str">
        <f t="shared" ref="C117:N117" si="27">IFERROR(C$91*INDEX($C68:$G68,MATCH(C$90,$C$42:$G$42,0))/SUM(INDEX($C$43:$G$84,0,MATCH(C$90,$C$42:$G$42,0))),"")</f>
        <v/>
      </c>
      <c r="D117" s="33" t="str">
        <f t="shared" si="27"/>
        <v/>
      </c>
      <c r="E117" s="33" t="str">
        <f t="shared" si="27"/>
        <v/>
      </c>
      <c r="F117" s="33" t="str">
        <f t="shared" si="27"/>
        <v/>
      </c>
      <c r="G117" s="33" t="str">
        <f t="shared" si="27"/>
        <v/>
      </c>
      <c r="H117" s="33" t="str">
        <f t="shared" si="27"/>
        <v/>
      </c>
      <c r="I117" s="33" t="str">
        <f t="shared" si="27"/>
        <v/>
      </c>
      <c r="J117" s="33" t="str">
        <f t="shared" si="27"/>
        <v/>
      </c>
      <c r="K117" s="33" t="str">
        <f t="shared" si="27"/>
        <v/>
      </c>
      <c r="L117" s="33" t="str">
        <f t="shared" si="27"/>
        <v/>
      </c>
      <c r="M117" s="33" t="str">
        <f t="shared" si="27"/>
        <v/>
      </c>
      <c r="N117" s="33" t="str">
        <f t="shared" si="27"/>
        <v/>
      </c>
      <c r="O117" s="33">
        <f t="shared" si="2"/>
        <v>0</v>
      </c>
    </row>
    <row r="118" spans="1:15" x14ac:dyDescent="0.3">
      <c r="A118" s="28">
        <v>27</v>
      </c>
      <c r="B118" s="41" t="str">
        <f t="shared" si="0"/>
        <v>Rekonstruksi dan Estetika</v>
      </c>
      <c r="C118" s="33" t="str">
        <f t="shared" ref="C118:N118" si="28">IFERROR(C$91*INDEX($C69:$G69,MATCH(C$90,$C$42:$G$42,0))/SUM(INDEX($C$43:$G$84,0,MATCH(C$90,$C$42:$G$42,0))),"")</f>
        <v/>
      </c>
      <c r="D118" s="33" t="str">
        <f t="shared" si="28"/>
        <v/>
      </c>
      <c r="E118" s="33" t="str">
        <f t="shared" si="28"/>
        <v/>
      </c>
      <c r="F118" s="33" t="str">
        <f t="shared" si="28"/>
        <v/>
      </c>
      <c r="G118" s="33" t="str">
        <f t="shared" si="28"/>
        <v/>
      </c>
      <c r="H118" s="33" t="str">
        <f t="shared" si="28"/>
        <v/>
      </c>
      <c r="I118" s="33" t="str">
        <f t="shared" si="28"/>
        <v/>
      </c>
      <c r="J118" s="33" t="str">
        <f t="shared" si="28"/>
        <v/>
      </c>
      <c r="K118" s="33" t="str">
        <f t="shared" si="28"/>
        <v/>
      </c>
      <c r="L118" s="33" t="str">
        <f t="shared" si="28"/>
        <v/>
      </c>
      <c r="M118" s="33" t="str">
        <f t="shared" si="28"/>
        <v/>
      </c>
      <c r="N118" s="33" t="str">
        <f t="shared" si="28"/>
        <v/>
      </c>
      <c r="O118" s="33">
        <f t="shared" si="2"/>
        <v>0</v>
      </c>
    </row>
    <row r="119" spans="1:15" x14ac:dyDescent="0.3">
      <c r="A119" s="28">
        <v>28</v>
      </c>
      <c r="B119" s="41" t="str">
        <f t="shared" si="0"/>
        <v>Trauma</v>
      </c>
      <c r="C119" s="33" t="str">
        <f t="shared" ref="C119:N119" si="29">IFERROR(C$91*INDEX($C70:$G70,MATCH(C$90,$C$42:$G$42,0))/SUM(INDEX($C$43:$G$84,0,MATCH(C$90,$C$42:$G$42,0))),"")</f>
        <v/>
      </c>
      <c r="D119" s="33" t="str">
        <f t="shared" si="29"/>
        <v/>
      </c>
      <c r="E119" s="33" t="str">
        <f t="shared" si="29"/>
        <v/>
      </c>
      <c r="F119" s="33" t="str">
        <f t="shared" si="29"/>
        <v/>
      </c>
      <c r="G119" s="33" t="str">
        <f t="shared" si="29"/>
        <v/>
      </c>
      <c r="H119" s="33" t="str">
        <f t="shared" si="29"/>
        <v/>
      </c>
      <c r="I119" s="33" t="str">
        <f t="shared" si="29"/>
        <v/>
      </c>
      <c r="J119" s="33" t="str">
        <f t="shared" si="29"/>
        <v/>
      </c>
      <c r="K119" s="33" t="str">
        <f t="shared" si="29"/>
        <v/>
      </c>
      <c r="L119" s="33" t="str">
        <f t="shared" si="29"/>
        <v/>
      </c>
      <c r="M119" s="33" t="str">
        <f t="shared" si="29"/>
        <v/>
      </c>
      <c r="N119" s="33" t="str">
        <f t="shared" si="29"/>
        <v/>
      </c>
      <c r="O119" s="33">
        <f t="shared" si="2"/>
        <v>0</v>
      </c>
    </row>
    <row r="120" spans="1:15" x14ac:dyDescent="0.3">
      <c r="A120" s="28">
        <v>29</v>
      </c>
      <c r="B120" s="41" t="str">
        <f t="shared" si="0"/>
        <v>Paru</v>
      </c>
      <c r="C120" s="33" t="str">
        <f t="shared" ref="C120:N120" si="30">IFERROR(C$91*INDEX($C71:$G71,MATCH(C$90,$C$42:$G$42,0))/SUM(INDEX($C$43:$G$84,0,MATCH(C$90,$C$42:$G$42,0))),"")</f>
        <v/>
      </c>
      <c r="D120" s="33" t="str">
        <f t="shared" si="30"/>
        <v/>
      </c>
      <c r="E120" s="33" t="str">
        <f t="shared" si="30"/>
        <v/>
      </c>
      <c r="F120" s="33" t="str">
        <f t="shared" si="30"/>
        <v/>
      </c>
      <c r="G120" s="33" t="str">
        <f t="shared" si="30"/>
        <v/>
      </c>
      <c r="H120" s="33" t="str">
        <f t="shared" si="30"/>
        <v/>
      </c>
      <c r="I120" s="33" t="str">
        <f t="shared" si="30"/>
        <v/>
      </c>
      <c r="J120" s="33" t="str">
        <f t="shared" si="30"/>
        <v/>
      </c>
      <c r="K120" s="33" t="str">
        <f t="shared" si="30"/>
        <v/>
      </c>
      <c r="L120" s="33" t="str">
        <f t="shared" si="30"/>
        <v/>
      </c>
      <c r="M120" s="33" t="str">
        <f t="shared" si="30"/>
        <v/>
      </c>
      <c r="N120" s="33" t="str">
        <f t="shared" si="30"/>
        <v/>
      </c>
      <c r="O120" s="33">
        <f t="shared" si="2"/>
        <v>0</v>
      </c>
    </row>
    <row r="121" spans="1:15" x14ac:dyDescent="0.3">
      <c r="A121" s="28">
        <v>30</v>
      </c>
      <c r="B121" s="41" t="str">
        <f t="shared" si="0"/>
        <v>THT (Telinga, Hidung, Tenggorokan)</v>
      </c>
      <c r="C121" s="33" t="str">
        <f t="shared" ref="C121:N121" si="31">IFERROR(C$91*INDEX($C72:$G72,MATCH(C$90,$C$42:$G$42,0))/SUM(INDEX($C$43:$G$84,0,MATCH(C$90,$C$42:$G$42,0))),"")</f>
        <v/>
      </c>
      <c r="D121" s="33" t="str">
        <f t="shared" si="31"/>
        <v/>
      </c>
      <c r="E121" s="33" t="str">
        <f t="shared" si="31"/>
        <v/>
      </c>
      <c r="F121" s="33" t="str">
        <f t="shared" si="31"/>
        <v/>
      </c>
      <c r="G121" s="33" t="str">
        <f t="shared" si="31"/>
        <v/>
      </c>
      <c r="H121" s="33" t="str">
        <f t="shared" si="31"/>
        <v/>
      </c>
      <c r="I121" s="33" t="str">
        <f t="shared" si="31"/>
        <v/>
      </c>
      <c r="J121" s="33" t="str">
        <f t="shared" si="31"/>
        <v/>
      </c>
      <c r="K121" s="33" t="str">
        <f t="shared" si="31"/>
        <v/>
      </c>
      <c r="L121" s="33" t="str">
        <f t="shared" si="31"/>
        <v/>
      </c>
      <c r="M121" s="33" t="str">
        <f t="shared" si="31"/>
        <v/>
      </c>
      <c r="N121" s="33" t="str">
        <f t="shared" si="31"/>
        <v/>
      </c>
      <c r="O121" s="33">
        <f t="shared" si="2"/>
        <v>0</v>
      </c>
    </row>
    <row r="122" spans="1:15" x14ac:dyDescent="0.3">
      <c r="A122" s="28">
        <v>31</v>
      </c>
      <c r="B122" s="41" t="str">
        <f t="shared" si="0"/>
        <v>Mata</v>
      </c>
      <c r="C122" s="33" t="str">
        <f t="shared" ref="C122:N122" si="32">IFERROR(C$91*INDEX($C73:$G73,MATCH(C$90,$C$42:$G$42,0))/SUM(INDEX($C$43:$G$84,0,MATCH(C$90,$C$42:$G$42,0))),"")</f>
        <v/>
      </c>
      <c r="D122" s="33" t="str">
        <f t="shared" si="32"/>
        <v/>
      </c>
      <c r="E122" s="33" t="str">
        <f t="shared" si="32"/>
        <v/>
      </c>
      <c r="F122" s="33" t="str">
        <f t="shared" si="32"/>
        <v/>
      </c>
      <c r="G122" s="33" t="str">
        <f t="shared" si="32"/>
        <v/>
      </c>
      <c r="H122" s="33" t="str">
        <f t="shared" si="32"/>
        <v/>
      </c>
      <c r="I122" s="33" t="str">
        <f t="shared" si="32"/>
        <v/>
      </c>
      <c r="J122" s="33" t="str">
        <f t="shared" si="32"/>
        <v/>
      </c>
      <c r="K122" s="33" t="str">
        <f t="shared" si="32"/>
        <v/>
      </c>
      <c r="L122" s="33" t="str">
        <f t="shared" si="32"/>
        <v/>
      </c>
      <c r="M122" s="33" t="str">
        <f t="shared" si="32"/>
        <v/>
      </c>
      <c r="N122" s="33" t="str">
        <f t="shared" si="32"/>
        <v/>
      </c>
      <c r="O122" s="33">
        <f t="shared" si="2"/>
        <v>0</v>
      </c>
    </row>
    <row r="123" spans="1:15" x14ac:dyDescent="0.3">
      <c r="A123" s="28">
        <v>32</v>
      </c>
      <c r="B123" s="41" t="str">
        <f t="shared" si="0"/>
        <v>Kulit dan Kelamin</v>
      </c>
      <c r="C123" s="33" t="str">
        <f t="shared" ref="C123:N123" si="33">IFERROR(C$91*INDEX($C74:$G74,MATCH(C$90,$C$42:$G$42,0))/SUM(INDEX($C$43:$G$84,0,MATCH(C$90,$C$42:$G$42,0))),"")</f>
        <v/>
      </c>
      <c r="D123" s="33" t="str">
        <f t="shared" si="33"/>
        <v/>
      </c>
      <c r="E123" s="33" t="str">
        <f t="shared" si="33"/>
        <v/>
      </c>
      <c r="F123" s="33" t="str">
        <f t="shared" si="33"/>
        <v/>
      </c>
      <c r="G123" s="33" t="str">
        <f t="shared" si="33"/>
        <v/>
      </c>
      <c r="H123" s="33" t="str">
        <f t="shared" si="33"/>
        <v/>
      </c>
      <c r="I123" s="33" t="str">
        <f t="shared" si="33"/>
        <v/>
      </c>
      <c r="J123" s="33" t="str">
        <f t="shared" si="33"/>
        <v/>
      </c>
      <c r="K123" s="33" t="str">
        <f t="shared" si="33"/>
        <v/>
      </c>
      <c r="L123" s="33" t="str">
        <f t="shared" si="33"/>
        <v/>
      </c>
      <c r="M123" s="33" t="str">
        <f t="shared" si="33"/>
        <v/>
      </c>
      <c r="N123" s="33" t="str">
        <f t="shared" si="33"/>
        <v/>
      </c>
      <c r="O123" s="33">
        <f t="shared" si="2"/>
        <v>0</v>
      </c>
    </row>
    <row r="124" spans="1:15" x14ac:dyDescent="0.3">
      <c r="A124" s="28">
        <v>33</v>
      </c>
      <c r="B124" s="41" t="str">
        <f t="shared" si="0"/>
        <v>Infeksi / Penyakit Tropis</v>
      </c>
      <c r="C124" s="33" t="str">
        <f t="shared" ref="C124:N124" si="34">IFERROR(C$91*INDEX($C75:$G75,MATCH(C$90,$C$42:$G$42,0))/SUM(INDEX($C$43:$G$84,0,MATCH(C$90,$C$42:$G$42,0))),"")</f>
        <v/>
      </c>
      <c r="D124" s="33" t="str">
        <f t="shared" si="34"/>
        <v/>
      </c>
      <c r="E124" s="33" t="str">
        <f t="shared" si="34"/>
        <v/>
      </c>
      <c r="F124" s="33" t="str">
        <f t="shared" si="34"/>
        <v/>
      </c>
      <c r="G124" s="33" t="str">
        <f t="shared" si="34"/>
        <v/>
      </c>
      <c r="H124" s="33" t="str">
        <f t="shared" si="34"/>
        <v/>
      </c>
      <c r="I124" s="33" t="str">
        <f t="shared" si="34"/>
        <v/>
      </c>
      <c r="J124" s="33" t="str">
        <f t="shared" si="34"/>
        <v/>
      </c>
      <c r="K124" s="33" t="str">
        <f t="shared" si="34"/>
        <v/>
      </c>
      <c r="L124" s="33" t="str">
        <f t="shared" si="34"/>
        <v/>
      </c>
      <c r="M124" s="33" t="str">
        <f t="shared" si="34"/>
        <v/>
      </c>
      <c r="N124" s="33" t="str">
        <f t="shared" si="34"/>
        <v/>
      </c>
      <c r="O124" s="33">
        <f t="shared" si="2"/>
        <v>0</v>
      </c>
    </row>
    <row r="125" spans="1:15" x14ac:dyDescent="0.3">
      <c r="A125" s="28">
        <v>34</v>
      </c>
      <c r="B125" s="41" t="str">
        <f t="shared" si="0"/>
        <v>Hematologi dan Onkologi Medik</v>
      </c>
      <c r="C125" s="33" t="str">
        <f t="shared" ref="C125:N125" si="35">IFERROR(C$91*INDEX($C76:$G76,MATCH(C$90,$C$42:$G$42,0))/SUM(INDEX($C$43:$G$84,0,MATCH(C$90,$C$42:$G$42,0))),"")</f>
        <v/>
      </c>
      <c r="D125" s="33" t="str">
        <f t="shared" si="35"/>
        <v/>
      </c>
      <c r="E125" s="33" t="str">
        <f t="shared" si="35"/>
        <v/>
      </c>
      <c r="F125" s="33" t="str">
        <f t="shared" si="35"/>
        <v/>
      </c>
      <c r="G125" s="33" t="str">
        <f t="shared" si="35"/>
        <v/>
      </c>
      <c r="H125" s="33" t="str">
        <f t="shared" si="35"/>
        <v/>
      </c>
      <c r="I125" s="33" t="str">
        <f t="shared" si="35"/>
        <v/>
      </c>
      <c r="J125" s="33" t="str">
        <f t="shared" si="35"/>
        <v/>
      </c>
      <c r="K125" s="33" t="str">
        <f t="shared" si="35"/>
        <v/>
      </c>
      <c r="L125" s="33" t="str">
        <f t="shared" si="35"/>
        <v/>
      </c>
      <c r="M125" s="33" t="str">
        <f t="shared" si="35"/>
        <v/>
      </c>
      <c r="N125" s="33" t="str">
        <f t="shared" si="35"/>
        <v/>
      </c>
      <c r="O125" s="33">
        <f t="shared" si="2"/>
        <v>0</v>
      </c>
    </row>
    <row r="126" spans="1:15" x14ac:dyDescent="0.3">
      <c r="A126" s="28">
        <v>35</v>
      </c>
      <c r="B126" s="41" t="str">
        <f t="shared" si="0"/>
        <v>Imunologi dan Reumatologi</v>
      </c>
      <c r="C126" s="33" t="str">
        <f t="shared" ref="C126:N126" si="36">IFERROR(C$91*INDEX($C77:$G77,MATCH(C$90,$C$42:$G$42,0))/SUM(INDEX($C$43:$G$84,0,MATCH(C$90,$C$42:$G$42,0))),"")</f>
        <v/>
      </c>
      <c r="D126" s="33" t="str">
        <f t="shared" si="36"/>
        <v/>
      </c>
      <c r="E126" s="33" t="str">
        <f t="shared" si="36"/>
        <v/>
      </c>
      <c r="F126" s="33" t="str">
        <f t="shared" si="36"/>
        <v/>
      </c>
      <c r="G126" s="33" t="str">
        <f t="shared" si="36"/>
        <v/>
      </c>
      <c r="H126" s="33" t="str">
        <f t="shared" si="36"/>
        <v/>
      </c>
      <c r="I126" s="33" t="str">
        <f t="shared" si="36"/>
        <v/>
      </c>
      <c r="J126" s="33" t="str">
        <f t="shared" si="36"/>
        <v/>
      </c>
      <c r="K126" s="33" t="str">
        <f t="shared" si="36"/>
        <v/>
      </c>
      <c r="L126" s="33" t="str">
        <f t="shared" si="36"/>
        <v/>
      </c>
      <c r="M126" s="33" t="str">
        <f t="shared" si="36"/>
        <v/>
      </c>
      <c r="N126" s="33" t="str">
        <f t="shared" si="36"/>
        <v/>
      </c>
      <c r="O126" s="33">
        <f t="shared" si="2"/>
        <v>0</v>
      </c>
    </row>
    <row r="127" spans="1:15" x14ac:dyDescent="0.3">
      <c r="A127" s="28">
        <v>36</v>
      </c>
      <c r="B127" s="41" t="str">
        <f t="shared" si="0"/>
        <v>Keracunan (Toksikologi)</v>
      </c>
      <c r="C127" s="33" t="str">
        <f t="shared" ref="C127:N127" si="37">IFERROR(C$91*INDEX($C78:$G78,MATCH(C$90,$C$42:$G$42,0))/SUM(INDEX($C$43:$G$84,0,MATCH(C$90,$C$42:$G$42,0))),"")</f>
        <v/>
      </c>
      <c r="D127" s="33" t="str">
        <f t="shared" si="37"/>
        <v/>
      </c>
      <c r="E127" s="33" t="str">
        <f t="shared" si="37"/>
        <v/>
      </c>
      <c r="F127" s="33" t="str">
        <f t="shared" si="37"/>
        <v/>
      </c>
      <c r="G127" s="33" t="str">
        <f t="shared" si="37"/>
        <v/>
      </c>
      <c r="H127" s="33" t="str">
        <f t="shared" si="37"/>
        <v/>
      </c>
      <c r="I127" s="33" t="str">
        <f t="shared" si="37"/>
        <v/>
      </c>
      <c r="J127" s="33" t="str">
        <f t="shared" si="37"/>
        <v/>
      </c>
      <c r="K127" s="33" t="str">
        <f t="shared" si="37"/>
        <v/>
      </c>
      <c r="L127" s="33" t="str">
        <f t="shared" si="37"/>
        <v/>
      </c>
      <c r="M127" s="33" t="str">
        <f t="shared" si="37"/>
        <v/>
      </c>
      <c r="N127" s="33" t="str">
        <f t="shared" si="37"/>
        <v/>
      </c>
      <c r="O127" s="33">
        <f t="shared" si="2"/>
        <v>0</v>
      </c>
    </row>
    <row r="128" spans="1:15" x14ac:dyDescent="0.3">
      <c r="A128" s="28">
        <v>37</v>
      </c>
      <c r="B128" s="41" t="str">
        <f t="shared" si="0"/>
        <v>Endokrin, Metabolik, dan Diabetes</v>
      </c>
      <c r="C128" s="33" t="str">
        <f t="shared" ref="C128:N128" si="38">IFERROR(C$91*INDEX($C79:$G79,MATCH(C$90,$C$42:$G$42,0))/SUM(INDEX($C$43:$G$84,0,MATCH(C$90,$C$42:$G$42,0))),"")</f>
        <v/>
      </c>
      <c r="D128" s="33" t="str">
        <f t="shared" si="38"/>
        <v/>
      </c>
      <c r="E128" s="33" t="str">
        <f t="shared" si="38"/>
        <v/>
      </c>
      <c r="F128" s="33" t="str">
        <f t="shared" si="38"/>
        <v/>
      </c>
      <c r="G128" s="33" t="str">
        <f t="shared" si="38"/>
        <v/>
      </c>
      <c r="H128" s="33" t="str">
        <f t="shared" si="38"/>
        <v/>
      </c>
      <c r="I128" s="33" t="str">
        <f t="shared" si="38"/>
        <v/>
      </c>
      <c r="J128" s="33" t="str">
        <f t="shared" si="38"/>
        <v/>
      </c>
      <c r="K128" s="33" t="str">
        <f t="shared" si="38"/>
        <v/>
      </c>
      <c r="L128" s="33" t="str">
        <f t="shared" si="38"/>
        <v/>
      </c>
      <c r="M128" s="33" t="str">
        <f t="shared" si="38"/>
        <v/>
      </c>
      <c r="N128" s="33" t="str">
        <f t="shared" si="38"/>
        <v/>
      </c>
      <c r="O128" s="33">
        <f t="shared" si="2"/>
        <v>0</v>
      </c>
    </row>
    <row r="129" spans="1:16" x14ac:dyDescent="0.3">
      <c r="A129" s="28">
        <v>38</v>
      </c>
      <c r="B129" s="41" t="str">
        <f t="shared" si="0"/>
        <v>Luka Bakar (Burn Unit)</v>
      </c>
      <c r="C129" s="33" t="str">
        <f t="shared" ref="C129:N129" si="39">IFERROR(C$91*INDEX($C80:$G80,MATCH(C$90,$C$42:$G$42,0))/SUM(INDEX($C$43:$G$84,0,MATCH(C$90,$C$42:$G$42,0))),"")</f>
        <v/>
      </c>
      <c r="D129" s="33" t="str">
        <f t="shared" si="39"/>
        <v/>
      </c>
      <c r="E129" s="33" t="str">
        <f t="shared" si="39"/>
        <v/>
      </c>
      <c r="F129" s="33" t="str">
        <f t="shared" si="39"/>
        <v/>
      </c>
      <c r="G129" s="33" t="str">
        <f t="shared" si="39"/>
        <v/>
      </c>
      <c r="H129" s="33" t="str">
        <f t="shared" si="39"/>
        <v/>
      </c>
      <c r="I129" s="33" t="str">
        <f t="shared" si="39"/>
        <v/>
      </c>
      <c r="J129" s="33" t="str">
        <f t="shared" si="39"/>
        <v/>
      </c>
      <c r="K129" s="33" t="str">
        <f t="shared" si="39"/>
        <v/>
      </c>
      <c r="L129" s="33" t="str">
        <f t="shared" si="39"/>
        <v/>
      </c>
      <c r="M129" s="33" t="str">
        <f t="shared" si="39"/>
        <v/>
      </c>
      <c r="N129" s="33" t="str">
        <f t="shared" si="39"/>
        <v/>
      </c>
      <c r="O129" s="33">
        <f t="shared" si="2"/>
        <v>0</v>
      </c>
    </row>
    <row r="130" spans="1:16" x14ac:dyDescent="0.3">
      <c r="A130" s="28">
        <v>39</v>
      </c>
      <c r="B130" s="41" t="str">
        <f t="shared" si="0"/>
        <v>Jiwa / Psikiatri</v>
      </c>
      <c r="C130" s="33" t="str">
        <f t="shared" ref="C130:N130" si="40">IFERROR(C$91*INDEX($C81:$G81,MATCH(C$90,$C$42:$G$42,0))/SUM(INDEX($C$43:$G$84,0,MATCH(C$90,$C$42:$G$42,0))),"")</f>
        <v/>
      </c>
      <c r="D130" s="33" t="str">
        <f t="shared" si="40"/>
        <v/>
      </c>
      <c r="E130" s="33" t="str">
        <f t="shared" si="40"/>
        <v/>
      </c>
      <c r="F130" s="33" t="str">
        <f t="shared" si="40"/>
        <v/>
      </c>
      <c r="G130" s="33" t="str">
        <f t="shared" si="40"/>
        <v/>
      </c>
      <c r="H130" s="33" t="str">
        <f t="shared" si="40"/>
        <v/>
      </c>
      <c r="I130" s="33" t="str">
        <f t="shared" si="40"/>
        <v/>
      </c>
      <c r="J130" s="33" t="str">
        <f t="shared" si="40"/>
        <v/>
      </c>
      <c r="K130" s="33" t="str">
        <f t="shared" si="40"/>
        <v/>
      </c>
      <c r="L130" s="33" t="str">
        <f t="shared" si="40"/>
        <v/>
      </c>
      <c r="M130" s="33" t="str">
        <f t="shared" si="40"/>
        <v/>
      </c>
      <c r="N130" s="33" t="str">
        <f t="shared" si="40"/>
        <v/>
      </c>
      <c r="O130" s="33">
        <f t="shared" si="2"/>
        <v>0</v>
      </c>
    </row>
    <row r="131" spans="1:16" x14ac:dyDescent="0.3">
      <c r="A131" s="28">
        <v>40</v>
      </c>
      <c r="B131" s="41" t="str">
        <f t="shared" si="0"/>
        <v>Gigi dan Mulut</v>
      </c>
      <c r="C131" s="33" t="str">
        <f t="shared" ref="C131:N131" si="41">IFERROR(C$91*INDEX($C82:$G82,MATCH(C$90,$C$42:$G$42,0))/SUM(INDEX($C$43:$G$84,0,MATCH(C$90,$C$42:$G$42,0))),"")</f>
        <v/>
      </c>
      <c r="D131" s="33" t="str">
        <f t="shared" si="41"/>
        <v/>
      </c>
      <c r="E131" s="33" t="str">
        <f t="shared" si="41"/>
        <v/>
      </c>
      <c r="F131" s="33" t="str">
        <f t="shared" si="41"/>
        <v/>
      </c>
      <c r="G131" s="33" t="str">
        <f t="shared" si="41"/>
        <v/>
      </c>
      <c r="H131" s="33" t="str">
        <f t="shared" si="41"/>
        <v/>
      </c>
      <c r="I131" s="33" t="str">
        <f t="shared" si="41"/>
        <v/>
      </c>
      <c r="J131" s="33" t="str">
        <f t="shared" si="41"/>
        <v/>
      </c>
      <c r="K131" s="33" t="str">
        <f t="shared" si="41"/>
        <v/>
      </c>
      <c r="L131" s="33" t="str">
        <f t="shared" si="41"/>
        <v/>
      </c>
      <c r="M131" s="33" t="str">
        <f t="shared" si="41"/>
        <v/>
      </c>
      <c r="N131" s="33" t="str">
        <f t="shared" si="41"/>
        <v/>
      </c>
      <c r="O131" s="33">
        <f t="shared" si="2"/>
        <v>0</v>
      </c>
    </row>
    <row r="132" spans="1:16" x14ac:dyDescent="0.3">
      <c r="A132" s="28">
        <v>41</v>
      </c>
      <c r="B132" s="41" t="str">
        <f t="shared" si="0"/>
        <v>Forensik dan Medikolegal</v>
      </c>
      <c r="C132" s="33" t="str">
        <f t="shared" ref="C132:N132" si="42">IFERROR(C$91*INDEX($C83:$G83,MATCH(C$90,$C$42:$G$42,0))/SUM(INDEX($C$43:$G$84,0,MATCH(C$90,$C$42:$G$42,0))),"")</f>
        <v/>
      </c>
      <c r="D132" s="33" t="str">
        <f t="shared" si="42"/>
        <v/>
      </c>
      <c r="E132" s="33" t="str">
        <f t="shared" si="42"/>
        <v/>
      </c>
      <c r="F132" s="33" t="str">
        <f t="shared" si="42"/>
        <v/>
      </c>
      <c r="G132" s="33" t="str">
        <f t="shared" si="42"/>
        <v/>
      </c>
      <c r="H132" s="33" t="str">
        <f t="shared" si="42"/>
        <v/>
      </c>
      <c r="I132" s="33" t="str">
        <f t="shared" si="42"/>
        <v/>
      </c>
      <c r="J132" s="33" t="str">
        <f t="shared" si="42"/>
        <v/>
      </c>
      <c r="K132" s="33" t="str">
        <f t="shared" si="42"/>
        <v/>
      </c>
      <c r="L132" s="33" t="str">
        <f t="shared" si="42"/>
        <v/>
      </c>
      <c r="M132" s="33" t="str">
        <f t="shared" si="42"/>
        <v/>
      </c>
      <c r="N132" s="33" t="str">
        <f t="shared" si="42"/>
        <v/>
      </c>
      <c r="O132" s="33">
        <f t="shared" si="2"/>
        <v>0</v>
      </c>
    </row>
    <row r="133" spans="1:16" x14ac:dyDescent="0.3">
      <c r="A133" s="28">
        <v>42</v>
      </c>
      <c r="B133" s="41" t="str">
        <f t="shared" si="0"/>
        <v>Rehabilitasi Medik</v>
      </c>
      <c r="C133" s="33" t="str">
        <f t="shared" ref="C133:N133" si="43">IFERROR(C$91*INDEX($C84:$G84,MATCH(C$90,$C$42:$G$42,0))/SUM(INDEX($C$43:$G$84,0,MATCH(C$90,$C$42:$G$42,0))),"")</f>
        <v/>
      </c>
      <c r="D133" s="33" t="str">
        <f t="shared" si="43"/>
        <v/>
      </c>
      <c r="E133" s="33" t="str">
        <f t="shared" si="43"/>
        <v/>
      </c>
      <c r="F133" s="33" t="str">
        <f t="shared" si="43"/>
        <v/>
      </c>
      <c r="G133" s="33" t="str">
        <f t="shared" si="43"/>
        <v/>
      </c>
      <c r="H133" s="33" t="str">
        <f t="shared" si="43"/>
        <v/>
      </c>
      <c r="I133" s="33" t="str">
        <f t="shared" si="43"/>
        <v/>
      </c>
      <c r="J133" s="33" t="str">
        <f t="shared" si="43"/>
        <v/>
      </c>
      <c r="K133" s="33" t="str">
        <f t="shared" si="43"/>
        <v/>
      </c>
      <c r="L133" s="33" t="str">
        <f t="shared" si="43"/>
        <v/>
      </c>
      <c r="M133" s="33" t="str">
        <f t="shared" si="43"/>
        <v/>
      </c>
      <c r="N133" s="33" t="str">
        <f t="shared" si="43"/>
        <v/>
      </c>
      <c r="O133" s="33">
        <f t="shared" si="2"/>
        <v>0</v>
      </c>
    </row>
    <row r="134" spans="1:16" x14ac:dyDescent="0.3">
      <c r="B134" s="35" t="s">
        <v>746</v>
      </c>
      <c r="C134" s="36">
        <f t="shared" ref="C134:O134" si="44">IFERROR(SUM(C92:C133),"")</f>
        <v>0</v>
      </c>
      <c r="D134" s="36">
        <f t="shared" si="44"/>
        <v>0</v>
      </c>
      <c r="E134" s="36">
        <f t="shared" si="44"/>
        <v>0</v>
      </c>
      <c r="F134" s="36">
        <f t="shared" si="44"/>
        <v>0</v>
      </c>
      <c r="G134" s="36">
        <f t="shared" si="44"/>
        <v>0</v>
      </c>
      <c r="H134" s="36">
        <f t="shared" si="44"/>
        <v>0</v>
      </c>
      <c r="I134" s="36">
        <f t="shared" si="44"/>
        <v>0</v>
      </c>
      <c r="J134" s="36">
        <f t="shared" si="44"/>
        <v>0</v>
      </c>
      <c r="K134" s="36">
        <f t="shared" si="44"/>
        <v>0</v>
      </c>
      <c r="L134" s="36">
        <f t="shared" si="44"/>
        <v>0</v>
      </c>
      <c r="M134" s="36">
        <f t="shared" si="44"/>
        <v>0</v>
      </c>
      <c r="N134" s="36">
        <f t="shared" si="44"/>
        <v>0</v>
      </c>
      <c r="O134" s="36">
        <f t="shared" si="44"/>
        <v>0</v>
      </c>
    </row>
    <row r="135" spans="1:16" x14ac:dyDescent="0.3">
      <c r="B135" s="28" t="s">
        <v>747</v>
      </c>
      <c r="C135" s="33" t="str">
        <f t="shared" ref="C135:N135" si="45">IFERROR(ROUND(C134-C91,0),"")</f>
        <v/>
      </c>
      <c r="D135" s="33" t="str">
        <f t="shared" si="45"/>
        <v/>
      </c>
      <c r="E135" s="33" t="str">
        <f t="shared" si="45"/>
        <v/>
      </c>
      <c r="F135" s="33" t="str">
        <f t="shared" si="45"/>
        <v/>
      </c>
      <c r="G135" s="33" t="str">
        <f t="shared" si="45"/>
        <v/>
      </c>
      <c r="H135" s="33" t="str">
        <f t="shared" si="45"/>
        <v/>
      </c>
      <c r="I135" s="33" t="str">
        <f t="shared" si="45"/>
        <v/>
      </c>
      <c r="J135" s="33" t="str">
        <f t="shared" si="45"/>
        <v/>
      </c>
      <c r="K135" s="33" t="str">
        <f t="shared" si="45"/>
        <v/>
      </c>
      <c r="L135" s="33" t="str">
        <f t="shared" si="45"/>
        <v/>
      </c>
      <c r="M135" s="33" t="str">
        <f t="shared" si="45"/>
        <v/>
      </c>
      <c r="N135" s="33" t="str">
        <f t="shared" si="45"/>
        <v/>
      </c>
      <c r="O135" s="33">
        <f>IFERROR(ROUND(O134-D38,0),"")</f>
        <v>0</v>
      </c>
    </row>
    <row r="138" spans="1:16" x14ac:dyDescent="0.3">
      <c r="A138" s="39" t="s">
        <v>748</v>
      </c>
      <c r="B138" s="39"/>
      <c r="C138" s="39"/>
      <c r="D138" s="39"/>
      <c r="E138" s="39"/>
      <c r="F138" s="39"/>
      <c r="G138" s="39"/>
      <c r="H138" s="39"/>
      <c r="I138" s="39"/>
      <c r="J138" s="39"/>
      <c r="K138" s="39"/>
      <c r="L138" s="39"/>
      <c r="M138" s="39"/>
      <c r="N138" s="39"/>
      <c r="O138" s="39"/>
      <c r="P138" s="39"/>
    </row>
    <row r="139" spans="1:16" x14ac:dyDescent="0.3">
      <c r="A139" s="40" t="s">
        <v>600</v>
      </c>
      <c r="B139" s="40" t="s">
        <v>749</v>
      </c>
      <c r="C139" s="40" t="s">
        <v>750</v>
      </c>
      <c r="D139" s="40" t="s">
        <v>751</v>
      </c>
      <c r="E139" s="40" t="s">
        <v>733</v>
      </c>
      <c r="F139" s="40" t="s">
        <v>752</v>
      </c>
      <c r="G139" s="40" t="s">
        <v>753</v>
      </c>
      <c r="H139" s="40" t="s">
        <v>754</v>
      </c>
      <c r="I139" s="40" t="s">
        <v>755</v>
      </c>
      <c r="J139" s="40" t="s">
        <v>363</v>
      </c>
    </row>
    <row r="140" spans="1:16" x14ac:dyDescent="0.3">
      <c r="A140" s="28">
        <v>1</v>
      </c>
      <c r="B140" s="41" t="str">
        <f>IFERROR('Costing Template'!B22,"")</f>
        <v>Farmasi</v>
      </c>
      <c r="C140" s="33" t="str">
        <f>IFERROR('Costing Template'!S22,"")</f>
        <v/>
      </c>
      <c r="D140" s="33">
        <f t="shared" ref="D140:D151" si="46">IFERROR(O92,"")</f>
        <v>0</v>
      </c>
      <c r="E140" s="33" t="str">
        <f t="shared" ref="E140:E151" si="47">IFERROR(C140+D140,"")</f>
        <v/>
      </c>
      <c r="F140" s="27">
        <v>0</v>
      </c>
      <c r="G140" s="41" t="str">
        <f t="shared" ref="G140:G151" si="48">IFERROR(IF(F140=1,"Penunjang umum","Penunjang klinis"),"")</f>
        <v>Penunjang klinis</v>
      </c>
      <c r="H140" s="33">
        <f>IFERROR('Data Operasional'!M11,"")</f>
        <v>0</v>
      </c>
      <c r="I140" s="33" t="str">
        <f t="shared" ref="I140:I151" si="49">IFERROR(IF(H140&gt;0,E140/H140,""),"")</f>
        <v/>
      </c>
      <c r="J140" s="41" t="str">
        <f>IFERROR('Data Operasional'!J11,"")</f>
        <v>lembar resep</v>
      </c>
    </row>
    <row r="141" spans="1:16" x14ac:dyDescent="0.3">
      <c r="A141" s="28">
        <v>2</v>
      </c>
      <c r="B141" s="41" t="str">
        <f>IFERROR('Costing Template'!B23,"")</f>
        <v>Radiologi</v>
      </c>
      <c r="C141" s="33" t="str">
        <f>IFERROR('Costing Template'!S23,"")</f>
        <v/>
      </c>
      <c r="D141" s="33">
        <f t="shared" si="46"/>
        <v>0</v>
      </c>
      <c r="E141" s="33" t="str">
        <f t="shared" si="47"/>
        <v/>
      </c>
      <c r="F141" s="27">
        <v>0</v>
      </c>
      <c r="G141" s="41" t="str">
        <f t="shared" si="48"/>
        <v>Penunjang klinis</v>
      </c>
      <c r="H141" s="33">
        <f>IFERROR('Data Operasional'!M12,"")</f>
        <v>0</v>
      </c>
      <c r="I141" s="33" t="str">
        <f t="shared" si="49"/>
        <v/>
      </c>
      <c r="J141" s="41" t="str">
        <f>IFERROR('Data Operasional'!J12,"")</f>
        <v>pemeriksaan</v>
      </c>
    </row>
    <row r="142" spans="1:16" x14ac:dyDescent="0.3">
      <c r="A142" s="28">
        <v>3</v>
      </c>
      <c r="B142" s="41" t="str">
        <f>IFERROR('Costing Template'!B24,"")</f>
        <v>Laboratorium</v>
      </c>
      <c r="C142" s="33" t="str">
        <f>IFERROR('Costing Template'!S24,"")</f>
        <v/>
      </c>
      <c r="D142" s="33">
        <f t="shared" si="46"/>
        <v>0</v>
      </c>
      <c r="E142" s="33" t="str">
        <f t="shared" si="47"/>
        <v/>
      </c>
      <c r="F142" s="27">
        <v>0</v>
      </c>
      <c r="G142" s="41" t="str">
        <f t="shared" si="48"/>
        <v>Penunjang klinis</v>
      </c>
      <c r="H142" s="33">
        <f>IFERROR('Data Operasional'!M13,"")</f>
        <v>0</v>
      </c>
      <c r="I142" s="33" t="str">
        <f t="shared" si="49"/>
        <v/>
      </c>
      <c r="J142" s="41" t="str">
        <f>IFERROR('Data Operasional'!J13,"")</f>
        <v>tes</v>
      </c>
    </row>
    <row r="143" spans="1:16" x14ac:dyDescent="0.3">
      <c r="A143" s="28">
        <v>4</v>
      </c>
      <c r="B143" s="41" t="str">
        <f>IFERROR('Costing Template'!B25,"")</f>
        <v>Rehabilitasi Medik</v>
      </c>
      <c r="C143" s="33" t="str">
        <f>IFERROR('Costing Template'!S25,"")</f>
        <v/>
      </c>
      <c r="D143" s="33">
        <f t="shared" si="46"/>
        <v>0</v>
      </c>
      <c r="E143" s="33" t="str">
        <f t="shared" si="47"/>
        <v/>
      </c>
      <c r="F143" s="27">
        <v>0</v>
      </c>
      <c r="G143" s="41" t="str">
        <f t="shared" si="48"/>
        <v>Penunjang klinis</v>
      </c>
      <c r="H143" s="33">
        <f>IFERROR('Data Operasional'!M14,"")</f>
        <v>0</v>
      </c>
      <c r="I143" s="33" t="str">
        <f t="shared" si="49"/>
        <v/>
      </c>
      <c r="J143" s="41" t="str">
        <f>IFERROR('Data Operasional'!J14,"")</f>
        <v>sesi terapi</v>
      </c>
    </row>
    <row r="144" spans="1:16" x14ac:dyDescent="0.3">
      <c r="A144" s="28">
        <v>5</v>
      </c>
      <c r="B144" s="41" t="str">
        <f>IFERROR('Costing Template'!B26,"")</f>
        <v>Rehabilitasi Psikososial</v>
      </c>
      <c r="C144" s="33" t="str">
        <f>IFERROR('Costing Template'!S26,"")</f>
        <v/>
      </c>
      <c r="D144" s="33">
        <f t="shared" si="46"/>
        <v>0</v>
      </c>
      <c r="E144" s="33" t="str">
        <f t="shared" si="47"/>
        <v/>
      </c>
      <c r="F144" s="27">
        <v>0</v>
      </c>
      <c r="G144" s="41" t="str">
        <f t="shared" si="48"/>
        <v>Penunjang klinis</v>
      </c>
      <c r="H144" s="33">
        <f>IFERROR('Data Operasional'!M15,"")</f>
        <v>0</v>
      </c>
      <c r="I144" s="33" t="str">
        <f t="shared" si="49"/>
        <v/>
      </c>
      <c r="J144" s="41" t="str">
        <f>IFERROR('Data Operasional'!J15,"")</f>
        <v>pasien</v>
      </c>
    </row>
    <row r="145" spans="1:16" x14ac:dyDescent="0.3">
      <c r="A145" s="28">
        <v>6</v>
      </c>
      <c r="B145" s="41" t="str">
        <f>IFERROR('Costing Template'!B27,"")</f>
        <v>Instalasi Bedah Sentral (IBS)</v>
      </c>
      <c r="C145" s="33" t="str">
        <f>IFERROR('Costing Template'!S27,"")</f>
        <v/>
      </c>
      <c r="D145" s="33">
        <f t="shared" si="46"/>
        <v>0</v>
      </c>
      <c r="E145" s="33" t="str">
        <f t="shared" si="47"/>
        <v/>
      </c>
      <c r="F145" s="27">
        <v>0</v>
      </c>
      <c r="G145" s="41" t="str">
        <f t="shared" si="48"/>
        <v>Penunjang klinis</v>
      </c>
      <c r="H145" s="33">
        <f>IFERROR('Data Operasional'!M16,"")</f>
        <v>0</v>
      </c>
      <c r="I145" s="33" t="str">
        <f t="shared" si="49"/>
        <v/>
      </c>
      <c r="J145" s="41" t="str">
        <f>IFERROR('Data Operasional'!J16,"")</f>
        <v>jam operasi</v>
      </c>
    </row>
    <row r="146" spans="1:16" x14ac:dyDescent="0.3">
      <c r="A146" s="28">
        <v>7</v>
      </c>
      <c r="B146" s="41" t="str">
        <f>IFERROR('Costing Template'!B28,"")</f>
        <v>Instalasi Gizi</v>
      </c>
      <c r="C146" s="33" t="str">
        <f>IFERROR('Costing Template'!S28,"")</f>
        <v/>
      </c>
      <c r="D146" s="33">
        <f t="shared" si="46"/>
        <v>0</v>
      </c>
      <c r="E146" s="33" t="str">
        <f t="shared" si="47"/>
        <v/>
      </c>
      <c r="F146" s="27">
        <v>1</v>
      </c>
      <c r="G146" s="41" t="str">
        <f t="shared" si="48"/>
        <v>Penunjang umum</v>
      </c>
      <c r="H146" s="33">
        <f>IFERROR('Data Operasional'!M17,"")</f>
        <v>0</v>
      </c>
      <c r="I146" s="33" t="str">
        <f t="shared" si="49"/>
        <v/>
      </c>
      <c r="J146" s="41" t="str">
        <f>IFERROR('Data Operasional'!J17,"")</f>
        <v>hari rawat</v>
      </c>
    </row>
    <row r="147" spans="1:16" x14ac:dyDescent="0.3">
      <c r="A147" s="28">
        <v>8</v>
      </c>
      <c r="B147" s="41" t="str">
        <f>IFERROR('Costing Template'!B29,"")</f>
        <v>Laundry Rumah Sakit</v>
      </c>
      <c r="C147" s="33" t="str">
        <f>IFERROR('Costing Template'!S29,"")</f>
        <v/>
      </c>
      <c r="D147" s="33">
        <f t="shared" si="46"/>
        <v>0</v>
      </c>
      <c r="E147" s="33" t="str">
        <f t="shared" si="47"/>
        <v/>
      </c>
      <c r="F147" s="27">
        <v>1</v>
      </c>
      <c r="G147" s="41" t="str">
        <f t="shared" si="48"/>
        <v>Penunjang umum</v>
      </c>
      <c r="H147" s="33">
        <f>IFERROR('Data Operasional'!M18,"")</f>
        <v>0</v>
      </c>
      <c r="I147" s="33" t="str">
        <f t="shared" si="49"/>
        <v/>
      </c>
      <c r="J147" s="41" t="str">
        <f>IFERROR('Data Operasional'!J18,"")</f>
        <v>kg linen</v>
      </c>
    </row>
    <row r="148" spans="1:16" x14ac:dyDescent="0.3">
      <c r="A148" s="28">
        <v>9</v>
      </c>
      <c r="B148" s="41" t="str">
        <f>IFERROR('Costing Template'!B30,"")</f>
        <v>Unit Sterilisasi Alat (CSSD)</v>
      </c>
      <c r="C148" s="33" t="str">
        <f>IFERROR('Costing Template'!S30,"")</f>
        <v/>
      </c>
      <c r="D148" s="33">
        <f t="shared" si="46"/>
        <v>0</v>
      </c>
      <c r="E148" s="33" t="str">
        <f t="shared" si="47"/>
        <v/>
      </c>
      <c r="F148" s="27">
        <v>1</v>
      </c>
      <c r="G148" s="41" t="str">
        <f t="shared" si="48"/>
        <v>Penunjang umum</v>
      </c>
      <c r="H148" s="33">
        <f>IFERROR('Data Operasional'!M19,"")</f>
        <v>0</v>
      </c>
      <c r="I148" s="33" t="str">
        <f t="shared" si="49"/>
        <v/>
      </c>
      <c r="J148" s="41" t="str">
        <f>IFERROR('Data Operasional'!J19,"")</f>
        <v>paket steril</v>
      </c>
    </row>
    <row r="149" spans="1:16" x14ac:dyDescent="0.3">
      <c r="A149" s="28">
        <v>10</v>
      </c>
      <c r="B149" s="41" t="str">
        <f>IFERROR('Costing Template'!B31,"")</f>
        <v>Gas Medis</v>
      </c>
      <c r="C149" s="33" t="str">
        <f>IFERROR('Costing Template'!S31,"")</f>
        <v/>
      </c>
      <c r="D149" s="33">
        <f t="shared" si="46"/>
        <v>0</v>
      </c>
      <c r="E149" s="33" t="str">
        <f t="shared" si="47"/>
        <v/>
      </c>
      <c r="F149" s="27">
        <v>1</v>
      </c>
      <c r="G149" s="41" t="str">
        <f t="shared" si="48"/>
        <v>Penunjang umum</v>
      </c>
      <c r="H149" s="33">
        <f>IFERROR('Data Operasional'!M20,"")</f>
        <v>0</v>
      </c>
      <c r="I149" s="33" t="str">
        <f t="shared" si="49"/>
        <v/>
      </c>
      <c r="J149" s="41" t="str">
        <f>IFERROR('Data Operasional'!J20,"")</f>
        <v>m³ oksigen</v>
      </c>
    </row>
    <row r="150" spans="1:16" x14ac:dyDescent="0.3">
      <c r="A150" s="28">
        <v>11</v>
      </c>
      <c r="B150" s="41" t="str">
        <f>IFERROR('Costing Template'!B32,"")</f>
        <v>Bank Darah</v>
      </c>
      <c r="C150" s="33" t="str">
        <f>IFERROR('Costing Template'!S32,"")</f>
        <v/>
      </c>
      <c r="D150" s="33">
        <f t="shared" si="46"/>
        <v>0</v>
      </c>
      <c r="E150" s="33" t="str">
        <f t="shared" si="47"/>
        <v/>
      </c>
      <c r="F150" s="27">
        <v>0</v>
      </c>
      <c r="G150" s="41" t="str">
        <f t="shared" si="48"/>
        <v>Penunjang klinis</v>
      </c>
      <c r="H150" s="33">
        <f>IFERROR('Data Operasional'!M21,"")</f>
        <v>0</v>
      </c>
      <c r="I150" s="33" t="str">
        <f t="shared" si="49"/>
        <v/>
      </c>
      <c r="J150" s="41" t="str">
        <f>IFERROR('Data Operasional'!J21,"")</f>
        <v>kantong</v>
      </c>
    </row>
    <row r="151" spans="1:16" x14ac:dyDescent="0.3">
      <c r="A151" s="28">
        <v>12</v>
      </c>
      <c r="B151" s="41" t="str">
        <f>IFERROR('Costing Template'!B33,"")</f>
        <v>Bank Jaringan</v>
      </c>
      <c r="C151" s="33" t="str">
        <f>IFERROR('Costing Template'!S33,"")</f>
        <v/>
      </c>
      <c r="D151" s="33">
        <f t="shared" si="46"/>
        <v>0</v>
      </c>
      <c r="E151" s="33" t="str">
        <f t="shared" si="47"/>
        <v/>
      </c>
      <c r="F151" s="27">
        <v>0</v>
      </c>
      <c r="G151" s="41" t="str">
        <f t="shared" si="48"/>
        <v>Penunjang klinis</v>
      </c>
      <c r="H151" s="33">
        <f>IFERROR('Data Operasional'!M22,"")</f>
        <v>0</v>
      </c>
      <c r="I151" s="33" t="str">
        <f t="shared" si="49"/>
        <v/>
      </c>
      <c r="J151" s="41" t="str">
        <f>IFERROR('Data Operasional'!J22,"")</f>
        <v>jaringan</v>
      </c>
    </row>
    <row r="152" spans="1:16" x14ac:dyDescent="0.3">
      <c r="B152" s="35" t="s">
        <v>739</v>
      </c>
      <c r="C152" s="36">
        <f>IFERROR(SUM(C140:C151),"")</f>
        <v>0</v>
      </c>
      <c r="D152" s="36">
        <f>IFERROR(SUM(D140:D151),"")</f>
        <v>0</v>
      </c>
      <c r="E152" s="36">
        <f>IFERROR(SUM(E140:E151),"")</f>
        <v>0</v>
      </c>
    </row>
    <row r="155" spans="1:16" x14ac:dyDescent="0.3">
      <c r="A155" s="39" t="s">
        <v>756</v>
      </c>
      <c r="B155" s="39"/>
      <c r="C155" s="39"/>
      <c r="D155" s="39"/>
      <c r="E155" s="39"/>
      <c r="F155" s="39"/>
      <c r="G155" s="39"/>
      <c r="H155" s="39"/>
      <c r="I155" s="39"/>
      <c r="J155" s="39"/>
      <c r="K155" s="39"/>
      <c r="L155" s="39"/>
      <c r="M155" s="39"/>
      <c r="N155" s="39"/>
      <c r="O155" s="39"/>
      <c r="P155" s="39"/>
    </row>
    <row r="156" spans="1:16" x14ac:dyDescent="0.3">
      <c r="A156" s="26" t="s">
        <v>600</v>
      </c>
      <c r="B156" s="26" t="s">
        <v>757</v>
      </c>
      <c r="C156" s="40" t="str">
        <f>IFERROR(B140,"")</f>
        <v>Farmasi</v>
      </c>
      <c r="D156" s="40" t="str">
        <f>IFERROR(B141,"")</f>
        <v>Radiologi</v>
      </c>
      <c r="E156" s="40" t="str">
        <f>IFERROR(B142,"")</f>
        <v>Laboratorium</v>
      </c>
      <c r="F156" s="40" t="str">
        <f>IFERROR(B143,"")</f>
        <v>Rehabilitasi Medik</v>
      </c>
      <c r="G156" s="40" t="str">
        <f>IFERROR(B144,"")</f>
        <v>Rehabilitasi Psikososial</v>
      </c>
      <c r="H156" s="40" t="str">
        <f>IFERROR(B145,"")</f>
        <v>Instalasi Bedah Sentral (IBS)</v>
      </c>
      <c r="I156" s="40" t="str">
        <f>IFERROR(B146,"")</f>
        <v>Instalasi Gizi</v>
      </c>
      <c r="J156" s="40" t="str">
        <f>IFERROR(B147,"")</f>
        <v>Laundry Rumah Sakit</v>
      </c>
      <c r="K156" s="40" t="str">
        <f>IFERROR(B148,"")</f>
        <v>Unit Sterilisasi Alat (CSSD)</v>
      </c>
      <c r="L156" s="40" t="str">
        <f>IFERROR(B149,"")</f>
        <v>Gas Medis</v>
      </c>
      <c r="M156" s="40" t="str">
        <f>IFERROR(B150,"")</f>
        <v>Bank Darah</v>
      </c>
      <c r="N156" s="40" t="str">
        <f>IFERROR(B151,"")</f>
        <v>Bank Jaringan</v>
      </c>
    </row>
    <row r="157" spans="1:16" x14ac:dyDescent="0.3">
      <c r="B157" s="30" t="s">
        <v>752</v>
      </c>
      <c r="C157" s="43">
        <f>IFERROR(F140,"")</f>
        <v>0</v>
      </c>
      <c r="D157" s="43">
        <f>IFERROR(F141,"")</f>
        <v>0</v>
      </c>
      <c r="E157" s="43">
        <f>IFERROR(F142,"")</f>
        <v>0</v>
      </c>
      <c r="F157" s="43">
        <f>IFERROR(F143,"")</f>
        <v>0</v>
      </c>
      <c r="G157" s="43">
        <f>IFERROR(F144,"")</f>
        <v>0</v>
      </c>
      <c r="H157" s="43">
        <f>IFERROR(F145,"")</f>
        <v>0</v>
      </c>
      <c r="I157" s="43">
        <f>IFERROR(F146,"")</f>
        <v>1</v>
      </c>
      <c r="J157" s="43">
        <f>IFERROR(F147,"")</f>
        <v>1</v>
      </c>
      <c r="K157" s="43">
        <f>IFERROR(F148,"")</f>
        <v>1</v>
      </c>
      <c r="L157" s="43">
        <f>IFERROR(F149,"")</f>
        <v>1</v>
      </c>
      <c r="M157" s="43">
        <f>IFERROR(F150,"")</f>
        <v>0</v>
      </c>
      <c r="N157" s="43">
        <f>IFERROR(F151,"")</f>
        <v>0</v>
      </c>
    </row>
    <row r="158" spans="1:16" x14ac:dyDescent="0.3">
      <c r="B158" s="30" t="s">
        <v>758</v>
      </c>
      <c r="C158" s="33" t="str">
        <f>IFERROR(E140,"")</f>
        <v/>
      </c>
      <c r="D158" s="33" t="str">
        <f>IFERROR(E141,"")</f>
        <v/>
      </c>
      <c r="E158" s="33" t="str">
        <f>IFERROR(E142,"")</f>
        <v/>
      </c>
      <c r="F158" s="33" t="str">
        <f>IFERROR(E143,"")</f>
        <v/>
      </c>
      <c r="G158" s="33" t="str">
        <f>IFERROR(E144,"")</f>
        <v/>
      </c>
      <c r="H158" s="33" t="str">
        <f>IFERROR(E145,"")</f>
        <v/>
      </c>
      <c r="I158" s="33" t="str">
        <f>IFERROR(E146,"")</f>
        <v/>
      </c>
      <c r="J158" s="33" t="str">
        <f>IFERROR(E147,"")</f>
        <v/>
      </c>
      <c r="K158" s="33" t="str">
        <f>IFERROR(E148,"")</f>
        <v/>
      </c>
      <c r="L158" s="33" t="str">
        <f>IFERROR(E149,"")</f>
        <v/>
      </c>
      <c r="M158" s="33" t="str">
        <f>IFERROR(E150,"")</f>
        <v/>
      </c>
      <c r="N158" s="33" t="str">
        <f>IFERROR(E151,"")</f>
        <v/>
      </c>
    </row>
    <row r="159" spans="1:16" x14ac:dyDescent="0.3">
      <c r="A159" s="28">
        <v>1</v>
      </c>
      <c r="B159" s="41" t="str">
        <f>IFERROR('Costing Template'!B38,"")</f>
        <v>Kamar Rawat Inap Standar (KRIS) C</v>
      </c>
      <c r="C159" s="34"/>
      <c r="D159" s="34"/>
      <c r="E159" s="34"/>
      <c r="F159" s="34"/>
      <c r="G159" s="34"/>
      <c r="H159" s="34"/>
      <c r="I159" s="33">
        <f>IFERROR(N('Costing Template'!E38),"")</f>
        <v>0</v>
      </c>
      <c r="J159" s="33">
        <f>IFERROR(N('Costing Template'!E38),"")</f>
        <v>0</v>
      </c>
      <c r="K159" s="34"/>
      <c r="L159" s="34"/>
      <c r="M159" s="34"/>
      <c r="N159" s="34"/>
    </row>
    <row r="160" spans="1:16" x14ac:dyDescent="0.3">
      <c r="A160" s="28">
        <v>2</v>
      </c>
      <c r="B160" s="41" t="str">
        <f>IFERROR('Costing Template'!B39,"")</f>
        <v>Kamar Rawat Inap Standar (KRIS) B</v>
      </c>
      <c r="C160" s="34"/>
      <c r="D160" s="34"/>
      <c r="E160" s="34"/>
      <c r="F160" s="34"/>
      <c r="G160" s="34"/>
      <c r="H160" s="34"/>
      <c r="I160" s="33">
        <f>IFERROR(N('Costing Template'!E39),"")</f>
        <v>0</v>
      </c>
      <c r="J160" s="33">
        <f>IFERROR(N('Costing Template'!E39),"")</f>
        <v>0</v>
      </c>
      <c r="K160" s="34"/>
      <c r="L160" s="34"/>
      <c r="M160" s="34"/>
      <c r="N160" s="34"/>
    </row>
    <row r="161" spans="1:14" x14ac:dyDescent="0.3">
      <c r="A161" s="28">
        <v>3</v>
      </c>
      <c r="B161" s="41" t="str">
        <f>IFERROR('Costing Template'!B40,"")</f>
        <v>Kamar Rawat Inap Standar (KRIS) A</v>
      </c>
      <c r="C161" s="34"/>
      <c r="D161" s="34"/>
      <c r="E161" s="34"/>
      <c r="F161" s="34"/>
      <c r="G161" s="34"/>
      <c r="H161" s="34"/>
      <c r="I161" s="33">
        <f>IFERROR(N('Costing Template'!E40),"")</f>
        <v>0</v>
      </c>
      <c r="J161" s="33">
        <f>IFERROR(N('Costing Template'!E40),"")</f>
        <v>0</v>
      </c>
      <c r="K161" s="34"/>
      <c r="L161" s="34"/>
      <c r="M161" s="34"/>
      <c r="N161" s="34"/>
    </row>
    <row r="162" spans="1:14" x14ac:dyDescent="0.3">
      <c r="A162" s="28">
        <v>4</v>
      </c>
      <c r="B162" s="41" t="str">
        <f>IFERROR('Costing Template'!B41,"")</f>
        <v>Kamar VIP/VVIP/Suite</v>
      </c>
      <c r="C162" s="34"/>
      <c r="D162" s="34"/>
      <c r="E162" s="34"/>
      <c r="F162" s="34"/>
      <c r="G162" s="34"/>
      <c r="H162" s="34"/>
      <c r="I162" s="33">
        <f>IFERROR(N('Costing Template'!E41),"")</f>
        <v>0</v>
      </c>
      <c r="J162" s="33">
        <f>IFERROR(N('Costing Template'!E41),"")</f>
        <v>0</v>
      </c>
      <c r="K162" s="34"/>
      <c r="L162" s="34"/>
      <c r="M162" s="34"/>
      <c r="N162" s="34"/>
    </row>
    <row r="163" spans="1:14" x14ac:dyDescent="0.3">
      <c r="A163" s="28">
        <v>5</v>
      </c>
      <c r="B163" s="41" t="str">
        <f>IFERROR('Costing Template'!B42,"")</f>
        <v>Kamar ICU/ICCU/NICU/PICU/HCU</v>
      </c>
      <c r="C163" s="34"/>
      <c r="D163" s="34"/>
      <c r="E163" s="34"/>
      <c r="F163" s="34"/>
      <c r="G163" s="34"/>
      <c r="H163" s="34"/>
      <c r="I163" s="33">
        <f>IFERROR(N('Costing Template'!E42),"")</f>
        <v>0</v>
      </c>
      <c r="J163" s="33">
        <f>IFERROR(N('Costing Template'!E42),"")</f>
        <v>0</v>
      </c>
      <c r="K163" s="34"/>
      <c r="L163" s="34"/>
      <c r="M163" s="34"/>
      <c r="N163" s="34"/>
    </row>
    <row r="164" spans="1:14" x14ac:dyDescent="0.3">
      <c r="A164" s="28">
        <v>6</v>
      </c>
      <c r="B164" s="41" t="str">
        <f>IFERROR('Costing Template'!B43,"")</f>
        <v>Instalasi Gawat Darurat (IGD)</v>
      </c>
      <c r="C164" s="34"/>
      <c r="D164" s="34"/>
      <c r="E164" s="34"/>
      <c r="F164" s="34"/>
      <c r="G164" s="34"/>
      <c r="H164" s="34"/>
      <c r="I164" s="33">
        <f>IFERROR(N('Costing Template'!E43),"")</f>
        <v>0</v>
      </c>
      <c r="J164" s="33">
        <f>IFERROR(N('Costing Template'!E43),"")</f>
        <v>0</v>
      </c>
      <c r="K164" s="34"/>
      <c r="L164" s="34"/>
      <c r="M164" s="34"/>
      <c r="N164" s="34"/>
    </row>
    <row r="165" spans="1:14" x14ac:dyDescent="0.3">
      <c r="A165" s="28">
        <v>7</v>
      </c>
      <c r="B165" s="41" t="str">
        <f>IFERROR('Costing Template'!B44,"")</f>
        <v>Neoplasma dan Myeloproliferative</v>
      </c>
      <c r="C165" s="34"/>
      <c r="D165" s="34"/>
      <c r="E165" s="34"/>
      <c r="F165" s="34"/>
      <c r="G165" s="34"/>
      <c r="H165" s="34"/>
      <c r="I165" s="33">
        <f>IFERROR(N('Costing Template'!E44),"")</f>
        <v>0</v>
      </c>
      <c r="J165" s="33">
        <f>IFERROR(N('Costing Template'!E44),"")</f>
        <v>0</v>
      </c>
      <c r="K165" s="34"/>
      <c r="L165" s="34"/>
      <c r="M165" s="34"/>
      <c r="N165" s="34"/>
    </row>
    <row r="166" spans="1:14" x14ac:dyDescent="0.3">
      <c r="A166" s="28">
        <v>8</v>
      </c>
      <c r="B166" s="41" t="str">
        <f>IFERROR('Costing Template'!B45,"")</f>
        <v>Jantung dan Pembuluh Darah</v>
      </c>
      <c r="C166" s="34"/>
      <c r="D166" s="34"/>
      <c r="E166" s="34"/>
      <c r="F166" s="34"/>
      <c r="G166" s="34"/>
      <c r="H166" s="34"/>
      <c r="I166" s="33">
        <f>IFERROR(N('Costing Template'!E45),"")</f>
        <v>0</v>
      </c>
      <c r="J166" s="33">
        <f>IFERROR(N('Costing Template'!E45),"")</f>
        <v>0</v>
      </c>
      <c r="K166" s="34"/>
      <c r="L166" s="34"/>
      <c r="M166" s="34"/>
      <c r="N166" s="34"/>
    </row>
    <row r="167" spans="1:14" x14ac:dyDescent="0.3">
      <c r="A167" s="28">
        <v>9</v>
      </c>
      <c r="B167" s="41" t="str">
        <f>IFERROR('Costing Template'!B46,"")</f>
        <v>Saraf / Neuroscience</v>
      </c>
      <c r="C167" s="34"/>
      <c r="D167" s="34"/>
      <c r="E167" s="34"/>
      <c r="F167" s="34"/>
      <c r="G167" s="34"/>
      <c r="H167" s="34"/>
      <c r="I167" s="33">
        <f>IFERROR(N('Costing Template'!E46),"")</f>
        <v>0</v>
      </c>
      <c r="J167" s="33">
        <f>IFERROR(N('Costing Template'!E46),"")</f>
        <v>0</v>
      </c>
      <c r="K167" s="34"/>
      <c r="L167" s="34"/>
      <c r="M167" s="34"/>
      <c r="N167" s="34"/>
    </row>
    <row r="168" spans="1:14" x14ac:dyDescent="0.3">
      <c r="A168" s="28">
        <v>10</v>
      </c>
      <c r="B168" s="41" t="str">
        <f>IFERROR('Costing Template'!B47,"")</f>
        <v>Kesehatan Ibu dan Ginekologi</v>
      </c>
      <c r="C168" s="34"/>
      <c r="D168" s="34"/>
      <c r="E168" s="34"/>
      <c r="F168" s="34"/>
      <c r="G168" s="34"/>
      <c r="H168" s="34"/>
      <c r="I168" s="33">
        <f>IFERROR(N('Costing Template'!E47),"")</f>
        <v>0</v>
      </c>
      <c r="J168" s="33">
        <f>IFERROR(N('Costing Template'!E47),"")</f>
        <v>0</v>
      </c>
      <c r="K168" s="34"/>
      <c r="L168" s="34"/>
      <c r="M168" s="34"/>
      <c r="N168" s="34"/>
    </row>
    <row r="169" spans="1:14" x14ac:dyDescent="0.3">
      <c r="A169" s="28">
        <v>11</v>
      </c>
      <c r="B169" s="41" t="str">
        <f>IFERROR('Costing Template'!B48,"")</f>
        <v>Kesehatan Neonatus</v>
      </c>
      <c r="C169" s="34"/>
      <c r="D169" s="34"/>
      <c r="E169" s="34"/>
      <c r="F169" s="34"/>
      <c r="G169" s="34"/>
      <c r="H169" s="34"/>
      <c r="I169" s="33">
        <f>IFERROR(N('Costing Template'!E48),"")</f>
        <v>0</v>
      </c>
      <c r="J169" s="33">
        <f>IFERROR(N('Costing Template'!E48),"")</f>
        <v>0</v>
      </c>
      <c r="K169" s="34"/>
      <c r="L169" s="34"/>
      <c r="M169" s="34"/>
      <c r="N169" s="34"/>
    </row>
    <row r="170" spans="1:14" x14ac:dyDescent="0.3">
      <c r="A170" s="28">
        <v>12</v>
      </c>
      <c r="B170" s="41" t="str">
        <f>IFERROR('Costing Template'!B49,"")</f>
        <v>Sistem Pencernaan dan Hepatobiliar</v>
      </c>
      <c r="C170" s="34"/>
      <c r="D170" s="34"/>
      <c r="E170" s="34"/>
      <c r="F170" s="34"/>
      <c r="G170" s="34"/>
      <c r="H170" s="34"/>
      <c r="I170" s="33">
        <f>IFERROR(N('Costing Template'!E49),"")</f>
        <v>0</v>
      </c>
      <c r="J170" s="33">
        <f>IFERROR(N('Costing Template'!E49),"")</f>
        <v>0</v>
      </c>
      <c r="K170" s="34"/>
      <c r="L170" s="34"/>
      <c r="M170" s="34"/>
      <c r="N170" s="34"/>
    </row>
    <row r="171" spans="1:14" x14ac:dyDescent="0.3">
      <c r="A171" s="28">
        <v>13</v>
      </c>
      <c r="B171" s="41" t="str">
        <f>IFERROR('Costing Template'!B50,"")</f>
        <v>Uronefro (Urologi dan Nefrologi)</v>
      </c>
      <c r="C171" s="34"/>
      <c r="D171" s="34"/>
      <c r="E171" s="34"/>
      <c r="F171" s="34"/>
      <c r="G171" s="34"/>
      <c r="H171" s="34"/>
      <c r="I171" s="33">
        <f>IFERROR(N('Costing Template'!E50),"")</f>
        <v>0</v>
      </c>
      <c r="J171" s="33">
        <f>IFERROR(N('Costing Template'!E50),"")</f>
        <v>0</v>
      </c>
      <c r="K171" s="34"/>
      <c r="L171" s="34"/>
      <c r="M171" s="34"/>
      <c r="N171" s="34"/>
    </row>
    <row r="172" spans="1:14" x14ac:dyDescent="0.3">
      <c r="A172" s="28">
        <v>14</v>
      </c>
      <c r="B172" s="41" t="str">
        <f>IFERROR('Costing Template'!B51,"")</f>
        <v>Musculoskeletal dan Jaringan Lunak</v>
      </c>
      <c r="C172" s="34"/>
      <c r="D172" s="34"/>
      <c r="E172" s="34"/>
      <c r="F172" s="34"/>
      <c r="G172" s="34"/>
      <c r="H172" s="34"/>
      <c r="I172" s="33">
        <f>IFERROR(N('Costing Template'!E51),"")</f>
        <v>0</v>
      </c>
      <c r="J172" s="33">
        <f>IFERROR(N('Costing Template'!E51),"")</f>
        <v>0</v>
      </c>
      <c r="K172" s="34"/>
      <c r="L172" s="34"/>
      <c r="M172" s="34"/>
      <c r="N172" s="34"/>
    </row>
    <row r="173" spans="1:14" x14ac:dyDescent="0.3">
      <c r="A173" s="28">
        <v>15</v>
      </c>
      <c r="B173" s="41" t="str">
        <f>IFERROR('Costing Template'!B52,"")</f>
        <v>Rekonstruksi dan Estetika</v>
      </c>
      <c r="C173" s="34"/>
      <c r="D173" s="34"/>
      <c r="E173" s="34"/>
      <c r="F173" s="34"/>
      <c r="G173" s="34"/>
      <c r="H173" s="34"/>
      <c r="I173" s="33">
        <f>IFERROR(N('Costing Template'!E52),"")</f>
        <v>0</v>
      </c>
      <c r="J173" s="33">
        <f>IFERROR(N('Costing Template'!E52),"")</f>
        <v>0</v>
      </c>
      <c r="K173" s="34"/>
      <c r="L173" s="34"/>
      <c r="M173" s="34"/>
      <c r="N173" s="34"/>
    </row>
    <row r="174" spans="1:14" x14ac:dyDescent="0.3">
      <c r="A174" s="28">
        <v>16</v>
      </c>
      <c r="B174" s="41" t="str">
        <f>IFERROR('Costing Template'!B53,"")</f>
        <v>Trauma</v>
      </c>
      <c r="C174" s="34"/>
      <c r="D174" s="34"/>
      <c r="E174" s="34"/>
      <c r="F174" s="34"/>
      <c r="G174" s="34"/>
      <c r="H174" s="34"/>
      <c r="I174" s="33">
        <f>IFERROR(N('Costing Template'!E53),"")</f>
        <v>0</v>
      </c>
      <c r="J174" s="33">
        <f>IFERROR(N('Costing Template'!E53),"")</f>
        <v>0</v>
      </c>
      <c r="K174" s="34"/>
      <c r="L174" s="34"/>
      <c r="M174" s="34"/>
      <c r="N174" s="34"/>
    </row>
    <row r="175" spans="1:14" x14ac:dyDescent="0.3">
      <c r="A175" s="28">
        <v>17</v>
      </c>
      <c r="B175" s="41" t="str">
        <f>IFERROR('Costing Template'!B54,"")</f>
        <v>Paru</v>
      </c>
      <c r="C175" s="34"/>
      <c r="D175" s="34"/>
      <c r="E175" s="34"/>
      <c r="F175" s="34"/>
      <c r="G175" s="34"/>
      <c r="H175" s="34"/>
      <c r="I175" s="33">
        <f>IFERROR(N('Costing Template'!E54),"")</f>
        <v>0</v>
      </c>
      <c r="J175" s="33">
        <f>IFERROR(N('Costing Template'!E54),"")</f>
        <v>0</v>
      </c>
      <c r="K175" s="34"/>
      <c r="L175" s="34"/>
      <c r="M175" s="34"/>
      <c r="N175" s="34"/>
    </row>
    <row r="176" spans="1:14" x14ac:dyDescent="0.3">
      <c r="A176" s="28">
        <v>18</v>
      </c>
      <c r="B176" s="41" t="str">
        <f>IFERROR('Costing Template'!B55,"")</f>
        <v>THT (Telinga, Hidung, Tenggorokan)</v>
      </c>
      <c r="C176" s="34"/>
      <c r="D176" s="34"/>
      <c r="E176" s="34"/>
      <c r="F176" s="34"/>
      <c r="G176" s="34"/>
      <c r="H176" s="34"/>
      <c r="I176" s="33">
        <f>IFERROR(N('Costing Template'!E55),"")</f>
        <v>0</v>
      </c>
      <c r="J176" s="33">
        <f>IFERROR(N('Costing Template'!E55),"")</f>
        <v>0</v>
      </c>
      <c r="K176" s="34"/>
      <c r="L176" s="34"/>
      <c r="M176" s="34"/>
      <c r="N176" s="34"/>
    </row>
    <row r="177" spans="1:16" x14ac:dyDescent="0.3">
      <c r="A177" s="28">
        <v>19</v>
      </c>
      <c r="B177" s="41" t="str">
        <f>IFERROR('Costing Template'!B56,"")</f>
        <v>Mata</v>
      </c>
      <c r="C177" s="34"/>
      <c r="D177" s="34"/>
      <c r="E177" s="34"/>
      <c r="F177" s="34"/>
      <c r="G177" s="34"/>
      <c r="H177" s="34"/>
      <c r="I177" s="33">
        <f>IFERROR(N('Costing Template'!E56),"")</f>
        <v>0</v>
      </c>
      <c r="J177" s="33">
        <f>IFERROR(N('Costing Template'!E56),"")</f>
        <v>0</v>
      </c>
      <c r="K177" s="34"/>
      <c r="L177" s="34"/>
      <c r="M177" s="34"/>
      <c r="N177" s="34"/>
    </row>
    <row r="178" spans="1:16" x14ac:dyDescent="0.3">
      <c r="A178" s="28">
        <v>20</v>
      </c>
      <c r="B178" s="41" t="str">
        <f>IFERROR('Costing Template'!B57,"")</f>
        <v>Kulit dan Kelamin</v>
      </c>
      <c r="C178" s="34"/>
      <c r="D178" s="34"/>
      <c r="E178" s="34"/>
      <c r="F178" s="34"/>
      <c r="G178" s="34"/>
      <c r="H178" s="34"/>
      <c r="I178" s="33">
        <f>IFERROR(N('Costing Template'!E57),"")</f>
        <v>0</v>
      </c>
      <c r="J178" s="33">
        <f>IFERROR(N('Costing Template'!E57),"")</f>
        <v>0</v>
      </c>
      <c r="K178" s="34"/>
      <c r="L178" s="34"/>
      <c r="M178" s="34"/>
      <c r="N178" s="34"/>
    </row>
    <row r="179" spans="1:16" x14ac:dyDescent="0.3">
      <c r="A179" s="28">
        <v>21</v>
      </c>
      <c r="B179" s="41" t="str">
        <f>IFERROR('Costing Template'!B58,"")</f>
        <v>Infeksi / Penyakit Tropis</v>
      </c>
      <c r="C179" s="34"/>
      <c r="D179" s="34"/>
      <c r="E179" s="34"/>
      <c r="F179" s="34"/>
      <c r="G179" s="34"/>
      <c r="H179" s="34"/>
      <c r="I179" s="33">
        <f>IFERROR(N('Costing Template'!E58),"")</f>
        <v>0</v>
      </c>
      <c r="J179" s="33">
        <f>IFERROR(N('Costing Template'!E58),"")</f>
        <v>0</v>
      </c>
      <c r="K179" s="34"/>
      <c r="L179" s="34"/>
      <c r="M179" s="34"/>
      <c r="N179" s="34"/>
    </row>
    <row r="180" spans="1:16" x14ac:dyDescent="0.3">
      <c r="A180" s="28">
        <v>22</v>
      </c>
      <c r="B180" s="41" t="str">
        <f>IFERROR('Costing Template'!B59,"")</f>
        <v>Hematologi dan Onkologi Medik</v>
      </c>
      <c r="C180" s="34"/>
      <c r="D180" s="34"/>
      <c r="E180" s="34"/>
      <c r="F180" s="34"/>
      <c r="G180" s="34"/>
      <c r="H180" s="34"/>
      <c r="I180" s="33">
        <f>IFERROR(N('Costing Template'!E59),"")</f>
        <v>0</v>
      </c>
      <c r="J180" s="33">
        <f>IFERROR(N('Costing Template'!E59),"")</f>
        <v>0</v>
      </c>
      <c r="K180" s="34"/>
      <c r="L180" s="34"/>
      <c r="M180" s="34"/>
      <c r="N180" s="34"/>
    </row>
    <row r="181" spans="1:16" x14ac:dyDescent="0.3">
      <c r="A181" s="28">
        <v>23</v>
      </c>
      <c r="B181" s="41" t="str">
        <f>IFERROR('Costing Template'!B60,"")</f>
        <v>Imunologi dan Reumatologi</v>
      </c>
      <c r="C181" s="34"/>
      <c r="D181" s="34"/>
      <c r="E181" s="34"/>
      <c r="F181" s="34"/>
      <c r="G181" s="34"/>
      <c r="H181" s="34"/>
      <c r="I181" s="33">
        <f>IFERROR(N('Costing Template'!E60),"")</f>
        <v>0</v>
      </c>
      <c r="J181" s="33">
        <f>IFERROR(N('Costing Template'!E60),"")</f>
        <v>0</v>
      </c>
      <c r="K181" s="34"/>
      <c r="L181" s="34"/>
      <c r="M181" s="34"/>
      <c r="N181" s="34"/>
    </row>
    <row r="182" spans="1:16" x14ac:dyDescent="0.3">
      <c r="A182" s="28">
        <v>24</v>
      </c>
      <c r="B182" s="41" t="str">
        <f>IFERROR('Costing Template'!B61,"")</f>
        <v>Keracunan (Toksikologi)</v>
      </c>
      <c r="C182" s="34"/>
      <c r="D182" s="34"/>
      <c r="E182" s="34"/>
      <c r="F182" s="34"/>
      <c r="G182" s="34"/>
      <c r="H182" s="34"/>
      <c r="I182" s="33">
        <f>IFERROR(N('Costing Template'!E61),"")</f>
        <v>0</v>
      </c>
      <c r="J182" s="33">
        <f>IFERROR(N('Costing Template'!E61),"")</f>
        <v>0</v>
      </c>
      <c r="K182" s="34"/>
      <c r="L182" s="34"/>
      <c r="M182" s="34"/>
      <c r="N182" s="34"/>
    </row>
    <row r="183" spans="1:16" x14ac:dyDescent="0.3">
      <c r="A183" s="28">
        <v>25</v>
      </c>
      <c r="B183" s="41" t="str">
        <f>IFERROR('Costing Template'!B62,"")</f>
        <v>Endokrin, Metabolik, dan Diabetes</v>
      </c>
      <c r="C183" s="34"/>
      <c r="D183" s="34"/>
      <c r="E183" s="34"/>
      <c r="F183" s="34"/>
      <c r="G183" s="34"/>
      <c r="H183" s="34"/>
      <c r="I183" s="33">
        <f>IFERROR(N('Costing Template'!E62),"")</f>
        <v>0</v>
      </c>
      <c r="J183" s="33">
        <f>IFERROR(N('Costing Template'!E62),"")</f>
        <v>0</v>
      </c>
      <c r="K183" s="34"/>
      <c r="L183" s="34"/>
      <c r="M183" s="34"/>
      <c r="N183" s="34"/>
    </row>
    <row r="184" spans="1:16" x14ac:dyDescent="0.3">
      <c r="A184" s="28">
        <v>26</v>
      </c>
      <c r="B184" s="41" t="str">
        <f>IFERROR('Costing Template'!B63,"")</f>
        <v>Luka Bakar (Burn Unit)</v>
      </c>
      <c r="C184" s="34"/>
      <c r="D184" s="34"/>
      <c r="E184" s="34"/>
      <c r="F184" s="34"/>
      <c r="G184" s="34"/>
      <c r="H184" s="34"/>
      <c r="I184" s="33">
        <f>IFERROR(N('Costing Template'!E63),"")</f>
        <v>0</v>
      </c>
      <c r="J184" s="33">
        <f>IFERROR(N('Costing Template'!E63),"")</f>
        <v>0</v>
      </c>
      <c r="K184" s="34"/>
      <c r="L184" s="34"/>
      <c r="M184" s="34"/>
      <c r="N184" s="34"/>
    </row>
    <row r="185" spans="1:16" x14ac:dyDescent="0.3">
      <c r="A185" s="28">
        <v>27</v>
      </c>
      <c r="B185" s="41" t="str">
        <f>IFERROR('Costing Template'!B64,"")</f>
        <v>Jiwa / Psikiatri</v>
      </c>
      <c r="C185" s="34"/>
      <c r="D185" s="34"/>
      <c r="E185" s="34"/>
      <c r="F185" s="34"/>
      <c r="G185" s="34"/>
      <c r="H185" s="34"/>
      <c r="I185" s="33">
        <f>IFERROR(N('Costing Template'!E64),"")</f>
        <v>0</v>
      </c>
      <c r="J185" s="33">
        <f>IFERROR(N('Costing Template'!E64),"")</f>
        <v>0</v>
      </c>
      <c r="K185" s="34"/>
      <c r="L185" s="34"/>
      <c r="M185" s="34"/>
      <c r="N185" s="34"/>
    </row>
    <row r="186" spans="1:16" x14ac:dyDescent="0.3">
      <c r="A186" s="28">
        <v>28</v>
      </c>
      <c r="B186" s="41" t="str">
        <f>IFERROR('Costing Template'!B65,"")</f>
        <v>Gigi dan Mulut</v>
      </c>
      <c r="C186" s="34"/>
      <c r="D186" s="34"/>
      <c r="E186" s="34"/>
      <c r="F186" s="34"/>
      <c r="G186" s="34"/>
      <c r="H186" s="34"/>
      <c r="I186" s="33">
        <f>IFERROR(N('Costing Template'!E65),"")</f>
        <v>0</v>
      </c>
      <c r="J186" s="33">
        <f>IFERROR(N('Costing Template'!E65),"")</f>
        <v>0</v>
      </c>
      <c r="K186" s="34"/>
      <c r="L186" s="34"/>
      <c r="M186" s="34"/>
      <c r="N186" s="34"/>
    </row>
    <row r="187" spans="1:16" x14ac:dyDescent="0.3">
      <c r="A187" s="28">
        <v>29</v>
      </c>
      <c r="B187" s="41" t="str">
        <f>IFERROR('Costing Template'!B66,"")</f>
        <v>Forensik dan Medikolegal</v>
      </c>
      <c r="C187" s="34"/>
      <c r="D187" s="34"/>
      <c r="E187" s="34"/>
      <c r="F187" s="34"/>
      <c r="G187" s="34"/>
      <c r="H187" s="34"/>
      <c r="I187" s="33">
        <f>IFERROR(N('Costing Template'!E66),"")</f>
        <v>0</v>
      </c>
      <c r="J187" s="33">
        <f>IFERROR(N('Costing Template'!E66),"")</f>
        <v>0</v>
      </c>
      <c r="K187" s="34"/>
      <c r="L187" s="34"/>
      <c r="M187" s="34"/>
      <c r="N187" s="34"/>
    </row>
    <row r="188" spans="1:16" x14ac:dyDescent="0.3">
      <c r="A188" s="28">
        <v>30</v>
      </c>
      <c r="B188" s="41" t="str">
        <f>IFERROR('Costing Template'!B67,"")</f>
        <v>Rehabilitasi Medik</v>
      </c>
      <c r="C188" s="34"/>
      <c r="D188" s="34"/>
      <c r="E188" s="34"/>
      <c r="F188" s="34"/>
      <c r="G188" s="34"/>
      <c r="H188" s="34"/>
      <c r="I188" s="33">
        <f>IFERROR(N('Costing Template'!E67),"")</f>
        <v>0</v>
      </c>
      <c r="J188" s="33">
        <f>IFERROR(N('Costing Template'!E67),"")</f>
        <v>0</v>
      </c>
      <c r="K188" s="34"/>
      <c r="L188" s="34"/>
      <c r="M188" s="34"/>
      <c r="N188" s="34"/>
    </row>
    <row r="189" spans="1:16" x14ac:dyDescent="0.3">
      <c r="B189" s="35" t="s">
        <v>759</v>
      </c>
      <c r="C189" s="36">
        <f t="shared" ref="C189:N189" si="50">IFERROR(SUM(C159:C188),"")</f>
        <v>0</v>
      </c>
      <c r="D189" s="36">
        <f t="shared" si="50"/>
        <v>0</v>
      </c>
      <c r="E189" s="36">
        <f t="shared" si="50"/>
        <v>0</v>
      </c>
      <c r="F189" s="36">
        <f t="shared" si="50"/>
        <v>0</v>
      </c>
      <c r="G189" s="36">
        <f t="shared" si="50"/>
        <v>0</v>
      </c>
      <c r="H189" s="36">
        <f t="shared" si="50"/>
        <v>0</v>
      </c>
      <c r="I189" s="36">
        <f t="shared" si="50"/>
        <v>0</v>
      </c>
      <c r="J189" s="36">
        <f t="shared" si="50"/>
        <v>0</v>
      </c>
      <c r="K189" s="36">
        <f t="shared" si="50"/>
        <v>0</v>
      </c>
      <c r="L189" s="36">
        <f t="shared" si="50"/>
        <v>0</v>
      </c>
      <c r="M189" s="36">
        <f t="shared" si="50"/>
        <v>0</v>
      </c>
      <c r="N189" s="36">
        <f t="shared" si="50"/>
        <v>0</v>
      </c>
    </row>
    <row r="192" spans="1:16" x14ac:dyDescent="0.3">
      <c r="A192" s="39" t="s">
        <v>760</v>
      </c>
      <c r="B192" s="39"/>
      <c r="C192" s="39"/>
      <c r="D192" s="39"/>
      <c r="E192" s="39"/>
      <c r="F192" s="39"/>
      <c r="G192" s="39"/>
      <c r="H192" s="39"/>
      <c r="I192" s="39"/>
      <c r="J192" s="39"/>
      <c r="K192" s="39"/>
      <c r="L192" s="39"/>
      <c r="M192" s="39"/>
      <c r="N192" s="39"/>
      <c r="O192" s="39"/>
      <c r="P192" s="39"/>
    </row>
    <row r="193" spans="1:16" x14ac:dyDescent="0.3">
      <c r="A193" s="26" t="s">
        <v>600</v>
      </c>
      <c r="B193" s="26" t="s">
        <v>761</v>
      </c>
      <c r="C193" s="40" t="str">
        <f>IFERROR(B140,"")</f>
        <v>Farmasi</v>
      </c>
      <c r="D193" s="40" t="str">
        <f>IFERROR(B141,"")</f>
        <v>Radiologi</v>
      </c>
      <c r="E193" s="40" t="str">
        <f>IFERROR(B142,"")</f>
        <v>Laboratorium</v>
      </c>
      <c r="F193" s="40" t="str">
        <f>IFERROR(B143,"")</f>
        <v>Rehabilitasi Medik</v>
      </c>
      <c r="G193" s="40" t="str">
        <f>IFERROR(B144,"")</f>
        <v>Rehabilitasi Psikososial</v>
      </c>
      <c r="H193" s="40" t="str">
        <f>IFERROR(B145,"")</f>
        <v>Instalasi Bedah Sentral (IBS)</v>
      </c>
      <c r="I193" s="40" t="str">
        <f>IFERROR(B146,"")</f>
        <v>Instalasi Gizi</v>
      </c>
      <c r="J193" s="40" t="str">
        <f>IFERROR(B147,"")</f>
        <v>Laundry Rumah Sakit</v>
      </c>
      <c r="K193" s="40" t="str">
        <f>IFERROR(B148,"")</f>
        <v>Unit Sterilisasi Alat (CSSD)</v>
      </c>
      <c r="L193" s="40" t="str">
        <f>IFERROR(B149,"")</f>
        <v>Gas Medis</v>
      </c>
      <c r="M193" s="40" t="str">
        <f>IFERROR(B150,"")</f>
        <v>Bank Darah</v>
      </c>
      <c r="N193" s="40" t="str">
        <f>IFERROR(B151,"")</f>
        <v>Bank Jaringan</v>
      </c>
      <c r="O193" s="40" t="s">
        <v>762</v>
      </c>
      <c r="P193" s="40" t="s">
        <v>763</v>
      </c>
    </row>
    <row r="194" spans="1:16" x14ac:dyDescent="0.3">
      <c r="A194" s="28">
        <v>1</v>
      </c>
      <c r="B194" s="41" t="str">
        <f t="shared" ref="B194:B223" si="51">IFERROR(B159,"")</f>
        <v>Kamar Rawat Inap Standar (KRIS) C</v>
      </c>
      <c r="C194" s="33">
        <f t="shared" ref="C194:N194" si="52">IFERROR(IF(C$189=0,0,C$158*C159/C$189),"")</f>
        <v>0</v>
      </c>
      <c r="D194" s="33">
        <f t="shared" si="52"/>
        <v>0</v>
      </c>
      <c r="E194" s="33">
        <f t="shared" si="52"/>
        <v>0</v>
      </c>
      <c r="F194" s="33">
        <f t="shared" si="52"/>
        <v>0</v>
      </c>
      <c r="G194" s="33">
        <f t="shared" si="52"/>
        <v>0</v>
      </c>
      <c r="H194" s="33">
        <f t="shared" si="52"/>
        <v>0</v>
      </c>
      <c r="I194" s="33">
        <f t="shared" si="52"/>
        <v>0</v>
      </c>
      <c r="J194" s="33">
        <f t="shared" si="52"/>
        <v>0</v>
      </c>
      <c r="K194" s="33">
        <f t="shared" si="52"/>
        <v>0</v>
      </c>
      <c r="L194" s="33">
        <f t="shared" si="52"/>
        <v>0</v>
      </c>
      <c r="M194" s="33">
        <f t="shared" si="52"/>
        <v>0</v>
      </c>
      <c r="N194" s="33">
        <f t="shared" si="52"/>
        <v>0</v>
      </c>
      <c r="O194" s="33">
        <f t="shared" ref="O194:O223" si="53">IFERROR(SUMIF($C$157:$N$157,1,C194:N194),"")</f>
        <v>0</v>
      </c>
      <c r="P194" s="33">
        <f t="shared" ref="P194:P223" si="54">IFERROR(SUMIF($C$157:$N$157,0,C194:N194),"")</f>
        <v>0</v>
      </c>
    </row>
    <row r="195" spans="1:16" x14ac:dyDescent="0.3">
      <c r="A195" s="28">
        <v>2</v>
      </c>
      <c r="B195" s="41" t="str">
        <f t="shared" si="51"/>
        <v>Kamar Rawat Inap Standar (KRIS) B</v>
      </c>
      <c r="C195" s="33">
        <f t="shared" ref="C195:N195" si="55">IFERROR(IF(C$189=0,0,C$158*C160/C$189),"")</f>
        <v>0</v>
      </c>
      <c r="D195" s="33">
        <f t="shared" si="55"/>
        <v>0</v>
      </c>
      <c r="E195" s="33">
        <f t="shared" si="55"/>
        <v>0</v>
      </c>
      <c r="F195" s="33">
        <f t="shared" si="55"/>
        <v>0</v>
      </c>
      <c r="G195" s="33">
        <f t="shared" si="55"/>
        <v>0</v>
      </c>
      <c r="H195" s="33">
        <f t="shared" si="55"/>
        <v>0</v>
      </c>
      <c r="I195" s="33">
        <f t="shared" si="55"/>
        <v>0</v>
      </c>
      <c r="J195" s="33">
        <f t="shared" si="55"/>
        <v>0</v>
      </c>
      <c r="K195" s="33">
        <f t="shared" si="55"/>
        <v>0</v>
      </c>
      <c r="L195" s="33">
        <f t="shared" si="55"/>
        <v>0</v>
      </c>
      <c r="M195" s="33">
        <f t="shared" si="55"/>
        <v>0</v>
      </c>
      <c r="N195" s="33">
        <f t="shared" si="55"/>
        <v>0</v>
      </c>
      <c r="O195" s="33">
        <f t="shared" si="53"/>
        <v>0</v>
      </c>
      <c r="P195" s="33">
        <f t="shared" si="54"/>
        <v>0</v>
      </c>
    </row>
    <row r="196" spans="1:16" x14ac:dyDescent="0.3">
      <c r="A196" s="28">
        <v>3</v>
      </c>
      <c r="B196" s="41" t="str">
        <f t="shared" si="51"/>
        <v>Kamar Rawat Inap Standar (KRIS) A</v>
      </c>
      <c r="C196" s="33">
        <f t="shared" ref="C196:N196" si="56">IFERROR(IF(C$189=0,0,C$158*C161/C$189),"")</f>
        <v>0</v>
      </c>
      <c r="D196" s="33">
        <f t="shared" si="56"/>
        <v>0</v>
      </c>
      <c r="E196" s="33">
        <f t="shared" si="56"/>
        <v>0</v>
      </c>
      <c r="F196" s="33">
        <f t="shared" si="56"/>
        <v>0</v>
      </c>
      <c r="G196" s="33">
        <f t="shared" si="56"/>
        <v>0</v>
      </c>
      <c r="H196" s="33">
        <f t="shared" si="56"/>
        <v>0</v>
      </c>
      <c r="I196" s="33">
        <f t="shared" si="56"/>
        <v>0</v>
      </c>
      <c r="J196" s="33">
        <f t="shared" si="56"/>
        <v>0</v>
      </c>
      <c r="K196" s="33">
        <f t="shared" si="56"/>
        <v>0</v>
      </c>
      <c r="L196" s="33">
        <f t="shared" si="56"/>
        <v>0</v>
      </c>
      <c r="M196" s="33">
        <f t="shared" si="56"/>
        <v>0</v>
      </c>
      <c r="N196" s="33">
        <f t="shared" si="56"/>
        <v>0</v>
      </c>
      <c r="O196" s="33">
        <f t="shared" si="53"/>
        <v>0</v>
      </c>
      <c r="P196" s="33">
        <f t="shared" si="54"/>
        <v>0</v>
      </c>
    </row>
    <row r="197" spans="1:16" x14ac:dyDescent="0.3">
      <c r="A197" s="28">
        <v>4</v>
      </c>
      <c r="B197" s="41" t="str">
        <f t="shared" si="51"/>
        <v>Kamar VIP/VVIP/Suite</v>
      </c>
      <c r="C197" s="33">
        <f t="shared" ref="C197:N197" si="57">IFERROR(IF(C$189=0,0,C$158*C162/C$189),"")</f>
        <v>0</v>
      </c>
      <c r="D197" s="33">
        <f t="shared" si="57"/>
        <v>0</v>
      </c>
      <c r="E197" s="33">
        <f t="shared" si="57"/>
        <v>0</v>
      </c>
      <c r="F197" s="33">
        <f t="shared" si="57"/>
        <v>0</v>
      </c>
      <c r="G197" s="33">
        <f t="shared" si="57"/>
        <v>0</v>
      </c>
      <c r="H197" s="33">
        <f t="shared" si="57"/>
        <v>0</v>
      </c>
      <c r="I197" s="33">
        <f t="shared" si="57"/>
        <v>0</v>
      </c>
      <c r="J197" s="33">
        <f t="shared" si="57"/>
        <v>0</v>
      </c>
      <c r="K197" s="33">
        <f t="shared" si="57"/>
        <v>0</v>
      </c>
      <c r="L197" s="33">
        <f t="shared" si="57"/>
        <v>0</v>
      </c>
      <c r="M197" s="33">
        <f t="shared" si="57"/>
        <v>0</v>
      </c>
      <c r="N197" s="33">
        <f t="shared" si="57"/>
        <v>0</v>
      </c>
      <c r="O197" s="33">
        <f t="shared" si="53"/>
        <v>0</v>
      </c>
      <c r="P197" s="33">
        <f t="shared" si="54"/>
        <v>0</v>
      </c>
    </row>
    <row r="198" spans="1:16" x14ac:dyDescent="0.3">
      <c r="A198" s="28">
        <v>5</v>
      </c>
      <c r="B198" s="41" t="str">
        <f t="shared" si="51"/>
        <v>Kamar ICU/ICCU/NICU/PICU/HCU</v>
      </c>
      <c r="C198" s="33">
        <f t="shared" ref="C198:N198" si="58">IFERROR(IF(C$189=0,0,C$158*C163/C$189),"")</f>
        <v>0</v>
      </c>
      <c r="D198" s="33">
        <f t="shared" si="58"/>
        <v>0</v>
      </c>
      <c r="E198" s="33">
        <f t="shared" si="58"/>
        <v>0</v>
      </c>
      <c r="F198" s="33">
        <f t="shared" si="58"/>
        <v>0</v>
      </c>
      <c r="G198" s="33">
        <f t="shared" si="58"/>
        <v>0</v>
      </c>
      <c r="H198" s="33">
        <f t="shared" si="58"/>
        <v>0</v>
      </c>
      <c r="I198" s="33">
        <f t="shared" si="58"/>
        <v>0</v>
      </c>
      <c r="J198" s="33">
        <f t="shared" si="58"/>
        <v>0</v>
      </c>
      <c r="K198" s="33">
        <f t="shared" si="58"/>
        <v>0</v>
      </c>
      <c r="L198" s="33">
        <f t="shared" si="58"/>
        <v>0</v>
      </c>
      <c r="M198" s="33">
        <f t="shared" si="58"/>
        <v>0</v>
      </c>
      <c r="N198" s="33">
        <f t="shared" si="58"/>
        <v>0</v>
      </c>
      <c r="O198" s="33">
        <f t="shared" si="53"/>
        <v>0</v>
      </c>
      <c r="P198" s="33">
        <f t="shared" si="54"/>
        <v>0</v>
      </c>
    </row>
    <row r="199" spans="1:16" x14ac:dyDescent="0.3">
      <c r="A199" s="28">
        <v>6</v>
      </c>
      <c r="B199" s="41" t="str">
        <f t="shared" si="51"/>
        <v>Instalasi Gawat Darurat (IGD)</v>
      </c>
      <c r="C199" s="33">
        <f t="shared" ref="C199:N199" si="59">IFERROR(IF(C$189=0,0,C$158*C164/C$189),"")</f>
        <v>0</v>
      </c>
      <c r="D199" s="33">
        <f t="shared" si="59"/>
        <v>0</v>
      </c>
      <c r="E199" s="33">
        <f t="shared" si="59"/>
        <v>0</v>
      </c>
      <c r="F199" s="33">
        <f t="shared" si="59"/>
        <v>0</v>
      </c>
      <c r="G199" s="33">
        <f t="shared" si="59"/>
        <v>0</v>
      </c>
      <c r="H199" s="33">
        <f t="shared" si="59"/>
        <v>0</v>
      </c>
      <c r="I199" s="33">
        <f t="shared" si="59"/>
        <v>0</v>
      </c>
      <c r="J199" s="33">
        <f t="shared" si="59"/>
        <v>0</v>
      </c>
      <c r="K199" s="33">
        <f t="shared" si="59"/>
        <v>0</v>
      </c>
      <c r="L199" s="33">
        <f t="shared" si="59"/>
        <v>0</v>
      </c>
      <c r="M199" s="33">
        <f t="shared" si="59"/>
        <v>0</v>
      </c>
      <c r="N199" s="33">
        <f t="shared" si="59"/>
        <v>0</v>
      </c>
      <c r="O199" s="33">
        <f t="shared" si="53"/>
        <v>0</v>
      </c>
      <c r="P199" s="33">
        <f t="shared" si="54"/>
        <v>0</v>
      </c>
    </row>
    <row r="200" spans="1:16" x14ac:dyDescent="0.3">
      <c r="A200" s="28">
        <v>7</v>
      </c>
      <c r="B200" s="41" t="str">
        <f t="shared" si="51"/>
        <v>Neoplasma dan Myeloproliferative</v>
      </c>
      <c r="C200" s="33">
        <f t="shared" ref="C200:N200" si="60">IFERROR(IF(C$189=0,0,C$158*C165/C$189),"")</f>
        <v>0</v>
      </c>
      <c r="D200" s="33">
        <f t="shared" si="60"/>
        <v>0</v>
      </c>
      <c r="E200" s="33">
        <f t="shared" si="60"/>
        <v>0</v>
      </c>
      <c r="F200" s="33">
        <f t="shared" si="60"/>
        <v>0</v>
      </c>
      <c r="G200" s="33">
        <f t="shared" si="60"/>
        <v>0</v>
      </c>
      <c r="H200" s="33">
        <f t="shared" si="60"/>
        <v>0</v>
      </c>
      <c r="I200" s="33">
        <f t="shared" si="60"/>
        <v>0</v>
      </c>
      <c r="J200" s="33">
        <f t="shared" si="60"/>
        <v>0</v>
      </c>
      <c r="K200" s="33">
        <f t="shared" si="60"/>
        <v>0</v>
      </c>
      <c r="L200" s="33">
        <f t="shared" si="60"/>
        <v>0</v>
      </c>
      <c r="M200" s="33">
        <f t="shared" si="60"/>
        <v>0</v>
      </c>
      <c r="N200" s="33">
        <f t="shared" si="60"/>
        <v>0</v>
      </c>
      <c r="O200" s="33">
        <f t="shared" si="53"/>
        <v>0</v>
      </c>
      <c r="P200" s="33">
        <f t="shared" si="54"/>
        <v>0</v>
      </c>
    </row>
    <row r="201" spans="1:16" x14ac:dyDescent="0.3">
      <c r="A201" s="28">
        <v>8</v>
      </c>
      <c r="B201" s="41" t="str">
        <f t="shared" si="51"/>
        <v>Jantung dan Pembuluh Darah</v>
      </c>
      <c r="C201" s="33">
        <f t="shared" ref="C201:N201" si="61">IFERROR(IF(C$189=0,0,C$158*C166/C$189),"")</f>
        <v>0</v>
      </c>
      <c r="D201" s="33">
        <f t="shared" si="61"/>
        <v>0</v>
      </c>
      <c r="E201" s="33">
        <f t="shared" si="61"/>
        <v>0</v>
      </c>
      <c r="F201" s="33">
        <f t="shared" si="61"/>
        <v>0</v>
      </c>
      <c r="G201" s="33">
        <f t="shared" si="61"/>
        <v>0</v>
      </c>
      <c r="H201" s="33">
        <f t="shared" si="61"/>
        <v>0</v>
      </c>
      <c r="I201" s="33">
        <f t="shared" si="61"/>
        <v>0</v>
      </c>
      <c r="J201" s="33">
        <f t="shared" si="61"/>
        <v>0</v>
      </c>
      <c r="K201" s="33">
        <f t="shared" si="61"/>
        <v>0</v>
      </c>
      <c r="L201" s="33">
        <f t="shared" si="61"/>
        <v>0</v>
      </c>
      <c r="M201" s="33">
        <f t="shared" si="61"/>
        <v>0</v>
      </c>
      <c r="N201" s="33">
        <f t="shared" si="61"/>
        <v>0</v>
      </c>
      <c r="O201" s="33">
        <f t="shared" si="53"/>
        <v>0</v>
      </c>
      <c r="P201" s="33">
        <f t="shared" si="54"/>
        <v>0</v>
      </c>
    </row>
    <row r="202" spans="1:16" x14ac:dyDescent="0.3">
      <c r="A202" s="28">
        <v>9</v>
      </c>
      <c r="B202" s="41" t="str">
        <f t="shared" si="51"/>
        <v>Saraf / Neuroscience</v>
      </c>
      <c r="C202" s="33">
        <f t="shared" ref="C202:N202" si="62">IFERROR(IF(C$189=0,0,C$158*C167/C$189),"")</f>
        <v>0</v>
      </c>
      <c r="D202" s="33">
        <f t="shared" si="62"/>
        <v>0</v>
      </c>
      <c r="E202" s="33">
        <f t="shared" si="62"/>
        <v>0</v>
      </c>
      <c r="F202" s="33">
        <f t="shared" si="62"/>
        <v>0</v>
      </c>
      <c r="G202" s="33">
        <f t="shared" si="62"/>
        <v>0</v>
      </c>
      <c r="H202" s="33">
        <f t="shared" si="62"/>
        <v>0</v>
      </c>
      <c r="I202" s="33">
        <f t="shared" si="62"/>
        <v>0</v>
      </c>
      <c r="J202" s="33">
        <f t="shared" si="62"/>
        <v>0</v>
      </c>
      <c r="K202" s="33">
        <f t="shared" si="62"/>
        <v>0</v>
      </c>
      <c r="L202" s="33">
        <f t="shared" si="62"/>
        <v>0</v>
      </c>
      <c r="M202" s="33">
        <f t="shared" si="62"/>
        <v>0</v>
      </c>
      <c r="N202" s="33">
        <f t="shared" si="62"/>
        <v>0</v>
      </c>
      <c r="O202" s="33">
        <f t="shared" si="53"/>
        <v>0</v>
      </c>
      <c r="P202" s="33">
        <f t="shared" si="54"/>
        <v>0</v>
      </c>
    </row>
    <row r="203" spans="1:16" x14ac:dyDescent="0.3">
      <c r="A203" s="28">
        <v>10</v>
      </c>
      <c r="B203" s="41" t="str">
        <f t="shared" si="51"/>
        <v>Kesehatan Ibu dan Ginekologi</v>
      </c>
      <c r="C203" s="33">
        <f t="shared" ref="C203:N203" si="63">IFERROR(IF(C$189=0,0,C$158*C168/C$189),"")</f>
        <v>0</v>
      </c>
      <c r="D203" s="33">
        <f t="shared" si="63"/>
        <v>0</v>
      </c>
      <c r="E203" s="33">
        <f t="shared" si="63"/>
        <v>0</v>
      </c>
      <c r="F203" s="33">
        <f t="shared" si="63"/>
        <v>0</v>
      </c>
      <c r="G203" s="33">
        <f t="shared" si="63"/>
        <v>0</v>
      </c>
      <c r="H203" s="33">
        <f t="shared" si="63"/>
        <v>0</v>
      </c>
      <c r="I203" s="33">
        <f t="shared" si="63"/>
        <v>0</v>
      </c>
      <c r="J203" s="33">
        <f t="shared" si="63"/>
        <v>0</v>
      </c>
      <c r="K203" s="33">
        <f t="shared" si="63"/>
        <v>0</v>
      </c>
      <c r="L203" s="33">
        <f t="shared" si="63"/>
        <v>0</v>
      </c>
      <c r="M203" s="33">
        <f t="shared" si="63"/>
        <v>0</v>
      </c>
      <c r="N203" s="33">
        <f t="shared" si="63"/>
        <v>0</v>
      </c>
      <c r="O203" s="33">
        <f t="shared" si="53"/>
        <v>0</v>
      </c>
      <c r="P203" s="33">
        <f t="shared" si="54"/>
        <v>0</v>
      </c>
    </row>
    <row r="204" spans="1:16" x14ac:dyDescent="0.3">
      <c r="A204" s="28">
        <v>11</v>
      </c>
      <c r="B204" s="41" t="str">
        <f t="shared" si="51"/>
        <v>Kesehatan Neonatus</v>
      </c>
      <c r="C204" s="33">
        <f t="shared" ref="C204:N204" si="64">IFERROR(IF(C$189=0,0,C$158*C169/C$189),"")</f>
        <v>0</v>
      </c>
      <c r="D204" s="33">
        <f t="shared" si="64"/>
        <v>0</v>
      </c>
      <c r="E204" s="33">
        <f t="shared" si="64"/>
        <v>0</v>
      </c>
      <c r="F204" s="33">
        <f t="shared" si="64"/>
        <v>0</v>
      </c>
      <c r="G204" s="33">
        <f t="shared" si="64"/>
        <v>0</v>
      </c>
      <c r="H204" s="33">
        <f t="shared" si="64"/>
        <v>0</v>
      </c>
      <c r="I204" s="33">
        <f t="shared" si="64"/>
        <v>0</v>
      </c>
      <c r="J204" s="33">
        <f t="shared" si="64"/>
        <v>0</v>
      </c>
      <c r="K204" s="33">
        <f t="shared" si="64"/>
        <v>0</v>
      </c>
      <c r="L204" s="33">
        <f t="shared" si="64"/>
        <v>0</v>
      </c>
      <c r="M204" s="33">
        <f t="shared" si="64"/>
        <v>0</v>
      </c>
      <c r="N204" s="33">
        <f t="shared" si="64"/>
        <v>0</v>
      </c>
      <c r="O204" s="33">
        <f t="shared" si="53"/>
        <v>0</v>
      </c>
      <c r="P204" s="33">
        <f t="shared" si="54"/>
        <v>0</v>
      </c>
    </row>
    <row r="205" spans="1:16" x14ac:dyDescent="0.3">
      <c r="A205" s="28">
        <v>12</v>
      </c>
      <c r="B205" s="41" t="str">
        <f t="shared" si="51"/>
        <v>Sistem Pencernaan dan Hepatobiliar</v>
      </c>
      <c r="C205" s="33">
        <f t="shared" ref="C205:N205" si="65">IFERROR(IF(C$189=0,0,C$158*C170/C$189),"")</f>
        <v>0</v>
      </c>
      <c r="D205" s="33">
        <f t="shared" si="65"/>
        <v>0</v>
      </c>
      <c r="E205" s="33">
        <f t="shared" si="65"/>
        <v>0</v>
      </c>
      <c r="F205" s="33">
        <f t="shared" si="65"/>
        <v>0</v>
      </c>
      <c r="G205" s="33">
        <f t="shared" si="65"/>
        <v>0</v>
      </c>
      <c r="H205" s="33">
        <f t="shared" si="65"/>
        <v>0</v>
      </c>
      <c r="I205" s="33">
        <f t="shared" si="65"/>
        <v>0</v>
      </c>
      <c r="J205" s="33">
        <f t="shared" si="65"/>
        <v>0</v>
      </c>
      <c r="K205" s="33">
        <f t="shared" si="65"/>
        <v>0</v>
      </c>
      <c r="L205" s="33">
        <f t="shared" si="65"/>
        <v>0</v>
      </c>
      <c r="M205" s="33">
        <f t="shared" si="65"/>
        <v>0</v>
      </c>
      <c r="N205" s="33">
        <f t="shared" si="65"/>
        <v>0</v>
      </c>
      <c r="O205" s="33">
        <f t="shared" si="53"/>
        <v>0</v>
      </c>
      <c r="P205" s="33">
        <f t="shared" si="54"/>
        <v>0</v>
      </c>
    </row>
    <row r="206" spans="1:16" x14ac:dyDescent="0.3">
      <c r="A206" s="28">
        <v>13</v>
      </c>
      <c r="B206" s="41" t="str">
        <f t="shared" si="51"/>
        <v>Uronefro (Urologi dan Nefrologi)</v>
      </c>
      <c r="C206" s="33">
        <f t="shared" ref="C206:N206" si="66">IFERROR(IF(C$189=0,0,C$158*C171/C$189),"")</f>
        <v>0</v>
      </c>
      <c r="D206" s="33">
        <f t="shared" si="66"/>
        <v>0</v>
      </c>
      <c r="E206" s="33">
        <f t="shared" si="66"/>
        <v>0</v>
      </c>
      <c r="F206" s="33">
        <f t="shared" si="66"/>
        <v>0</v>
      </c>
      <c r="G206" s="33">
        <f t="shared" si="66"/>
        <v>0</v>
      </c>
      <c r="H206" s="33">
        <f t="shared" si="66"/>
        <v>0</v>
      </c>
      <c r="I206" s="33">
        <f t="shared" si="66"/>
        <v>0</v>
      </c>
      <c r="J206" s="33">
        <f t="shared" si="66"/>
        <v>0</v>
      </c>
      <c r="K206" s="33">
        <f t="shared" si="66"/>
        <v>0</v>
      </c>
      <c r="L206" s="33">
        <f t="shared" si="66"/>
        <v>0</v>
      </c>
      <c r="M206" s="33">
        <f t="shared" si="66"/>
        <v>0</v>
      </c>
      <c r="N206" s="33">
        <f t="shared" si="66"/>
        <v>0</v>
      </c>
      <c r="O206" s="33">
        <f t="shared" si="53"/>
        <v>0</v>
      </c>
      <c r="P206" s="33">
        <f t="shared" si="54"/>
        <v>0</v>
      </c>
    </row>
    <row r="207" spans="1:16" x14ac:dyDescent="0.3">
      <c r="A207" s="28">
        <v>14</v>
      </c>
      <c r="B207" s="41" t="str">
        <f t="shared" si="51"/>
        <v>Musculoskeletal dan Jaringan Lunak</v>
      </c>
      <c r="C207" s="33">
        <f t="shared" ref="C207:N207" si="67">IFERROR(IF(C$189=0,0,C$158*C172/C$189),"")</f>
        <v>0</v>
      </c>
      <c r="D207" s="33">
        <f t="shared" si="67"/>
        <v>0</v>
      </c>
      <c r="E207" s="33">
        <f t="shared" si="67"/>
        <v>0</v>
      </c>
      <c r="F207" s="33">
        <f t="shared" si="67"/>
        <v>0</v>
      </c>
      <c r="G207" s="33">
        <f t="shared" si="67"/>
        <v>0</v>
      </c>
      <c r="H207" s="33">
        <f t="shared" si="67"/>
        <v>0</v>
      </c>
      <c r="I207" s="33">
        <f t="shared" si="67"/>
        <v>0</v>
      </c>
      <c r="J207" s="33">
        <f t="shared" si="67"/>
        <v>0</v>
      </c>
      <c r="K207" s="33">
        <f t="shared" si="67"/>
        <v>0</v>
      </c>
      <c r="L207" s="33">
        <f t="shared" si="67"/>
        <v>0</v>
      </c>
      <c r="M207" s="33">
        <f t="shared" si="67"/>
        <v>0</v>
      </c>
      <c r="N207" s="33">
        <f t="shared" si="67"/>
        <v>0</v>
      </c>
      <c r="O207" s="33">
        <f t="shared" si="53"/>
        <v>0</v>
      </c>
      <c r="P207" s="33">
        <f t="shared" si="54"/>
        <v>0</v>
      </c>
    </row>
    <row r="208" spans="1:16" x14ac:dyDescent="0.3">
      <c r="A208" s="28">
        <v>15</v>
      </c>
      <c r="B208" s="41" t="str">
        <f t="shared" si="51"/>
        <v>Rekonstruksi dan Estetika</v>
      </c>
      <c r="C208" s="33">
        <f t="shared" ref="C208:N208" si="68">IFERROR(IF(C$189=0,0,C$158*C173/C$189),"")</f>
        <v>0</v>
      </c>
      <c r="D208" s="33">
        <f t="shared" si="68"/>
        <v>0</v>
      </c>
      <c r="E208" s="33">
        <f t="shared" si="68"/>
        <v>0</v>
      </c>
      <c r="F208" s="33">
        <f t="shared" si="68"/>
        <v>0</v>
      </c>
      <c r="G208" s="33">
        <f t="shared" si="68"/>
        <v>0</v>
      </c>
      <c r="H208" s="33">
        <f t="shared" si="68"/>
        <v>0</v>
      </c>
      <c r="I208" s="33">
        <f t="shared" si="68"/>
        <v>0</v>
      </c>
      <c r="J208" s="33">
        <f t="shared" si="68"/>
        <v>0</v>
      </c>
      <c r="K208" s="33">
        <f t="shared" si="68"/>
        <v>0</v>
      </c>
      <c r="L208" s="33">
        <f t="shared" si="68"/>
        <v>0</v>
      </c>
      <c r="M208" s="33">
        <f t="shared" si="68"/>
        <v>0</v>
      </c>
      <c r="N208" s="33">
        <f t="shared" si="68"/>
        <v>0</v>
      </c>
      <c r="O208" s="33">
        <f t="shared" si="53"/>
        <v>0</v>
      </c>
      <c r="P208" s="33">
        <f t="shared" si="54"/>
        <v>0</v>
      </c>
    </row>
    <row r="209" spans="1:16" x14ac:dyDescent="0.3">
      <c r="A209" s="28">
        <v>16</v>
      </c>
      <c r="B209" s="41" t="str">
        <f t="shared" si="51"/>
        <v>Trauma</v>
      </c>
      <c r="C209" s="33">
        <f t="shared" ref="C209:N209" si="69">IFERROR(IF(C$189=0,0,C$158*C174/C$189),"")</f>
        <v>0</v>
      </c>
      <c r="D209" s="33">
        <f t="shared" si="69"/>
        <v>0</v>
      </c>
      <c r="E209" s="33">
        <f t="shared" si="69"/>
        <v>0</v>
      </c>
      <c r="F209" s="33">
        <f t="shared" si="69"/>
        <v>0</v>
      </c>
      <c r="G209" s="33">
        <f t="shared" si="69"/>
        <v>0</v>
      </c>
      <c r="H209" s="33">
        <f t="shared" si="69"/>
        <v>0</v>
      </c>
      <c r="I209" s="33">
        <f t="shared" si="69"/>
        <v>0</v>
      </c>
      <c r="J209" s="33">
        <f t="shared" si="69"/>
        <v>0</v>
      </c>
      <c r="K209" s="33">
        <f t="shared" si="69"/>
        <v>0</v>
      </c>
      <c r="L209" s="33">
        <f t="shared" si="69"/>
        <v>0</v>
      </c>
      <c r="M209" s="33">
        <f t="shared" si="69"/>
        <v>0</v>
      </c>
      <c r="N209" s="33">
        <f t="shared" si="69"/>
        <v>0</v>
      </c>
      <c r="O209" s="33">
        <f t="shared" si="53"/>
        <v>0</v>
      </c>
      <c r="P209" s="33">
        <f t="shared" si="54"/>
        <v>0</v>
      </c>
    </row>
    <row r="210" spans="1:16" x14ac:dyDescent="0.3">
      <c r="A210" s="28">
        <v>17</v>
      </c>
      <c r="B210" s="41" t="str">
        <f t="shared" si="51"/>
        <v>Paru</v>
      </c>
      <c r="C210" s="33">
        <f t="shared" ref="C210:N210" si="70">IFERROR(IF(C$189=0,0,C$158*C175/C$189),"")</f>
        <v>0</v>
      </c>
      <c r="D210" s="33">
        <f t="shared" si="70"/>
        <v>0</v>
      </c>
      <c r="E210" s="33">
        <f t="shared" si="70"/>
        <v>0</v>
      </c>
      <c r="F210" s="33">
        <f t="shared" si="70"/>
        <v>0</v>
      </c>
      <c r="G210" s="33">
        <f t="shared" si="70"/>
        <v>0</v>
      </c>
      <c r="H210" s="33">
        <f t="shared" si="70"/>
        <v>0</v>
      </c>
      <c r="I210" s="33">
        <f t="shared" si="70"/>
        <v>0</v>
      </c>
      <c r="J210" s="33">
        <f t="shared" si="70"/>
        <v>0</v>
      </c>
      <c r="K210" s="33">
        <f t="shared" si="70"/>
        <v>0</v>
      </c>
      <c r="L210" s="33">
        <f t="shared" si="70"/>
        <v>0</v>
      </c>
      <c r="M210" s="33">
        <f t="shared" si="70"/>
        <v>0</v>
      </c>
      <c r="N210" s="33">
        <f t="shared" si="70"/>
        <v>0</v>
      </c>
      <c r="O210" s="33">
        <f t="shared" si="53"/>
        <v>0</v>
      </c>
      <c r="P210" s="33">
        <f t="shared" si="54"/>
        <v>0</v>
      </c>
    </row>
    <row r="211" spans="1:16" x14ac:dyDescent="0.3">
      <c r="A211" s="28">
        <v>18</v>
      </c>
      <c r="B211" s="41" t="str">
        <f t="shared" si="51"/>
        <v>THT (Telinga, Hidung, Tenggorokan)</v>
      </c>
      <c r="C211" s="33">
        <f t="shared" ref="C211:N211" si="71">IFERROR(IF(C$189=0,0,C$158*C176/C$189),"")</f>
        <v>0</v>
      </c>
      <c r="D211" s="33">
        <f t="shared" si="71"/>
        <v>0</v>
      </c>
      <c r="E211" s="33">
        <f t="shared" si="71"/>
        <v>0</v>
      </c>
      <c r="F211" s="33">
        <f t="shared" si="71"/>
        <v>0</v>
      </c>
      <c r="G211" s="33">
        <f t="shared" si="71"/>
        <v>0</v>
      </c>
      <c r="H211" s="33">
        <f t="shared" si="71"/>
        <v>0</v>
      </c>
      <c r="I211" s="33">
        <f t="shared" si="71"/>
        <v>0</v>
      </c>
      <c r="J211" s="33">
        <f t="shared" si="71"/>
        <v>0</v>
      </c>
      <c r="K211" s="33">
        <f t="shared" si="71"/>
        <v>0</v>
      </c>
      <c r="L211" s="33">
        <f t="shared" si="71"/>
        <v>0</v>
      </c>
      <c r="M211" s="33">
        <f t="shared" si="71"/>
        <v>0</v>
      </c>
      <c r="N211" s="33">
        <f t="shared" si="71"/>
        <v>0</v>
      </c>
      <c r="O211" s="33">
        <f t="shared" si="53"/>
        <v>0</v>
      </c>
      <c r="P211" s="33">
        <f t="shared" si="54"/>
        <v>0</v>
      </c>
    </row>
    <row r="212" spans="1:16" x14ac:dyDescent="0.3">
      <c r="A212" s="28">
        <v>19</v>
      </c>
      <c r="B212" s="41" t="str">
        <f t="shared" si="51"/>
        <v>Mata</v>
      </c>
      <c r="C212" s="33">
        <f t="shared" ref="C212:N212" si="72">IFERROR(IF(C$189=0,0,C$158*C177/C$189),"")</f>
        <v>0</v>
      </c>
      <c r="D212" s="33">
        <f t="shared" si="72"/>
        <v>0</v>
      </c>
      <c r="E212" s="33">
        <f t="shared" si="72"/>
        <v>0</v>
      </c>
      <c r="F212" s="33">
        <f t="shared" si="72"/>
        <v>0</v>
      </c>
      <c r="G212" s="33">
        <f t="shared" si="72"/>
        <v>0</v>
      </c>
      <c r="H212" s="33">
        <f t="shared" si="72"/>
        <v>0</v>
      </c>
      <c r="I212" s="33">
        <f t="shared" si="72"/>
        <v>0</v>
      </c>
      <c r="J212" s="33">
        <f t="shared" si="72"/>
        <v>0</v>
      </c>
      <c r="K212" s="33">
        <f t="shared" si="72"/>
        <v>0</v>
      </c>
      <c r="L212" s="33">
        <f t="shared" si="72"/>
        <v>0</v>
      </c>
      <c r="M212" s="33">
        <f t="shared" si="72"/>
        <v>0</v>
      </c>
      <c r="N212" s="33">
        <f t="shared" si="72"/>
        <v>0</v>
      </c>
      <c r="O212" s="33">
        <f t="shared" si="53"/>
        <v>0</v>
      </c>
      <c r="P212" s="33">
        <f t="shared" si="54"/>
        <v>0</v>
      </c>
    </row>
    <row r="213" spans="1:16" x14ac:dyDescent="0.3">
      <c r="A213" s="28">
        <v>20</v>
      </c>
      <c r="B213" s="41" t="str">
        <f t="shared" si="51"/>
        <v>Kulit dan Kelamin</v>
      </c>
      <c r="C213" s="33">
        <f t="shared" ref="C213:N213" si="73">IFERROR(IF(C$189=0,0,C$158*C178/C$189),"")</f>
        <v>0</v>
      </c>
      <c r="D213" s="33">
        <f t="shared" si="73"/>
        <v>0</v>
      </c>
      <c r="E213" s="33">
        <f t="shared" si="73"/>
        <v>0</v>
      </c>
      <c r="F213" s="33">
        <f t="shared" si="73"/>
        <v>0</v>
      </c>
      <c r="G213" s="33">
        <f t="shared" si="73"/>
        <v>0</v>
      </c>
      <c r="H213" s="33">
        <f t="shared" si="73"/>
        <v>0</v>
      </c>
      <c r="I213" s="33">
        <f t="shared" si="73"/>
        <v>0</v>
      </c>
      <c r="J213" s="33">
        <f t="shared" si="73"/>
        <v>0</v>
      </c>
      <c r="K213" s="33">
        <f t="shared" si="73"/>
        <v>0</v>
      </c>
      <c r="L213" s="33">
        <f t="shared" si="73"/>
        <v>0</v>
      </c>
      <c r="M213" s="33">
        <f t="shared" si="73"/>
        <v>0</v>
      </c>
      <c r="N213" s="33">
        <f t="shared" si="73"/>
        <v>0</v>
      </c>
      <c r="O213" s="33">
        <f t="shared" si="53"/>
        <v>0</v>
      </c>
      <c r="P213" s="33">
        <f t="shared" si="54"/>
        <v>0</v>
      </c>
    </row>
    <row r="214" spans="1:16" x14ac:dyDescent="0.3">
      <c r="A214" s="28">
        <v>21</v>
      </c>
      <c r="B214" s="41" t="str">
        <f t="shared" si="51"/>
        <v>Infeksi / Penyakit Tropis</v>
      </c>
      <c r="C214" s="33">
        <f t="shared" ref="C214:N214" si="74">IFERROR(IF(C$189=0,0,C$158*C179/C$189),"")</f>
        <v>0</v>
      </c>
      <c r="D214" s="33">
        <f t="shared" si="74"/>
        <v>0</v>
      </c>
      <c r="E214" s="33">
        <f t="shared" si="74"/>
        <v>0</v>
      </c>
      <c r="F214" s="33">
        <f t="shared" si="74"/>
        <v>0</v>
      </c>
      <c r="G214" s="33">
        <f t="shared" si="74"/>
        <v>0</v>
      </c>
      <c r="H214" s="33">
        <f t="shared" si="74"/>
        <v>0</v>
      </c>
      <c r="I214" s="33">
        <f t="shared" si="74"/>
        <v>0</v>
      </c>
      <c r="J214" s="33">
        <f t="shared" si="74"/>
        <v>0</v>
      </c>
      <c r="K214" s="33">
        <f t="shared" si="74"/>
        <v>0</v>
      </c>
      <c r="L214" s="33">
        <f t="shared" si="74"/>
        <v>0</v>
      </c>
      <c r="M214" s="33">
        <f t="shared" si="74"/>
        <v>0</v>
      </c>
      <c r="N214" s="33">
        <f t="shared" si="74"/>
        <v>0</v>
      </c>
      <c r="O214" s="33">
        <f t="shared" si="53"/>
        <v>0</v>
      </c>
      <c r="P214" s="33">
        <f t="shared" si="54"/>
        <v>0</v>
      </c>
    </row>
    <row r="215" spans="1:16" x14ac:dyDescent="0.3">
      <c r="A215" s="28">
        <v>22</v>
      </c>
      <c r="B215" s="41" t="str">
        <f t="shared" si="51"/>
        <v>Hematologi dan Onkologi Medik</v>
      </c>
      <c r="C215" s="33">
        <f t="shared" ref="C215:N215" si="75">IFERROR(IF(C$189=0,0,C$158*C180/C$189),"")</f>
        <v>0</v>
      </c>
      <c r="D215" s="33">
        <f t="shared" si="75"/>
        <v>0</v>
      </c>
      <c r="E215" s="33">
        <f t="shared" si="75"/>
        <v>0</v>
      </c>
      <c r="F215" s="33">
        <f t="shared" si="75"/>
        <v>0</v>
      </c>
      <c r="G215" s="33">
        <f t="shared" si="75"/>
        <v>0</v>
      </c>
      <c r="H215" s="33">
        <f t="shared" si="75"/>
        <v>0</v>
      </c>
      <c r="I215" s="33">
        <f t="shared" si="75"/>
        <v>0</v>
      </c>
      <c r="J215" s="33">
        <f t="shared" si="75"/>
        <v>0</v>
      </c>
      <c r="K215" s="33">
        <f t="shared" si="75"/>
        <v>0</v>
      </c>
      <c r="L215" s="33">
        <f t="shared" si="75"/>
        <v>0</v>
      </c>
      <c r="M215" s="33">
        <f t="shared" si="75"/>
        <v>0</v>
      </c>
      <c r="N215" s="33">
        <f t="shared" si="75"/>
        <v>0</v>
      </c>
      <c r="O215" s="33">
        <f t="shared" si="53"/>
        <v>0</v>
      </c>
      <c r="P215" s="33">
        <f t="shared" si="54"/>
        <v>0</v>
      </c>
    </row>
    <row r="216" spans="1:16" x14ac:dyDescent="0.3">
      <c r="A216" s="28">
        <v>23</v>
      </c>
      <c r="B216" s="41" t="str">
        <f t="shared" si="51"/>
        <v>Imunologi dan Reumatologi</v>
      </c>
      <c r="C216" s="33">
        <f t="shared" ref="C216:N216" si="76">IFERROR(IF(C$189=0,0,C$158*C181/C$189),"")</f>
        <v>0</v>
      </c>
      <c r="D216" s="33">
        <f t="shared" si="76"/>
        <v>0</v>
      </c>
      <c r="E216" s="33">
        <f t="shared" si="76"/>
        <v>0</v>
      </c>
      <c r="F216" s="33">
        <f t="shared" si="76"/>
        <v>0</v>
      </c>
      <c r="G216" s="33">
        <f t="shared" si="76"/>
        <v>0</v>
      </c>
      <c r="H216" s="33">
        <f t="shared" si="76"/>
        <v>0</v>
      </c>
      <c r="I216" s="33">
        <f t="shared" si="76"/>
        <v>0</v>
      </c>
      <c r="J216" s="33">
        <f t="shared" si="76"/>
        <v>0</v>
      </c>
      <c r="K216" s="33">
        <f t="shared" si="76"/>
        <v>0</v>
      </c>
      <c r="L216" s="33">
        <f t="shared" si="76"/>
        <v>0</v>
      </c>
      <c r="M216" s="33">
        <f t="shared" si="76"/>
        <v>0</v>
      </c>
      <c r="N216" s="33">
        <f t="shared" si="76"/>
        <v>0</v>
      </c>
      <c r="O216" s="33">
        <f t="shared" si="53"/>
        <v>0</v>
      </c>
      <c r="P216" s="33">
        <f t="shared" si="54"/>
        <v>0</v>
      </c>
    </row>
    <row r="217" spans="1:16" x14ac:dyDescent="0.3">
      <c r="A217" s="28">
        <v>24</v>
      </c>
      <c r="B217" s="41" t="str">
        <f t="shared" si="51"/>
        <v>Keracunan (Toksikologi)</v>
      </c>
      <c r="C217" s="33">
        <f t="shared" ref="C217:N217" si="77">IFERROR(IF(C$189=0,0,C$158*C182/C$189),"")</f>
        <v>0</v>
      </c>
      <c r="D217" s="33">
        <f t="shared" si="77"/>
        <v>0</v>
      </c>
      <c r="E217" s="33">
        <f t="shared" si="77"/>
        <v>0</v>
      </c>
      <c r="F217" s="33">
        <f t="shared" si="77"/>
        <v>0</v>
      </c>
      <c r="G217" s="33">
        <f t="shared" si="77"/>
        <v>0</v>
      </c>
      <c r="H217" s="33">
        <f t="shared" si="77"/>
        <v>0</v>
      </c>
      <c r="I217" s="33">
        <f t="shared" si="77"/>
        <v>0</v>
      </c>
      <c r="J217" s="33">
        <f t="shared" si="77"/>
        <v>0</v>
      </c>
      <c r="K217" s="33">
        <f t="shared" si="77"/>
        <v>0</v>
      </c>
      <c r="L217" s="33">
        <f t="shared" si="77"/>
        <v>0</v>
      </c>
      <c r="M217" s="33">
        <f t="shared" si="77"/>
        <v>0</v>
      </c>
      <c r="N217" s="33">
        <f t="shared" si="77"/>
        <v>0</v>
      </c>
      <c r="O217" s="33">
        <f t="shared" si="53"/>
        <v>0</v>
      </c>
      <c r="P217" s="33">
        <f t="shared" si="54"/>
        <v>0</v>
      </c>
    </row>
    <row r="218" spans="1:16" x14ac:dyDescent="0.3">
      <c r="A218" s="28">
        <v>25</v>
      </c>
      <c r="B218" s="41" t="str">
        <f t="shared" si="51"/>
        <v>Endokrin, Metabolik, dan Diabetes</v>
      </c>
      <c r="C218" s="33">
        <f t="shared" ref="C218:N218" si="78">IFERROR(IF(C$189=0,0,C$158*C183/C$189),"")</f>
        <v>0</v>
      </c>
      <c r="D218" s="33">
        <f t="shared" si="78"/>
        <v>0</v>
      </c>
      <c r="E218" s="33">
        <f t="shared" si="78"/>
        <v>0</v>
      </c>
      <c r="F218" s="33">
        <f t="shared" si="78"/>
        <v>0</v>
      </c>
      <c r="G218" s="33">
        <f t="shared" si="78"/>
        <v>0</v>
      </c>
      <c r="H218" s="33">
        <f t="shared" si="78"/>
        <v>0</v>
      </c>
      <c r="I218" s="33">
        <f t="shared" si="78"/>
        <v>0</v>
      </c>
      <c r="J218" s="33">
        <f t="shared" si="78"/>
        <v>0</v>
      </c>
      <c r="K218" s="33">
        <f t="shared" si="78"/>
        <v>0</v>
      </c>
      <c r="L218" s="33">
        <f t="shared" si="78"/>
        <v>0</v>
      </c>
      <c r="M218" s="33">
        <f t="shared" si="78"/>
        <v>0</v>
      </c>
      <c r="N218" s="33">
        <f t="shared" si="78"/>
        <v>0</v>
      </c>
      <c r="O218" s="33">
        <f t="shared" si="53"/>
        <v>0</v>
      </c>
      <c r="P218" s="33">
        <f t="shared" si="54"/>
        <v>0</v>
      </c>
    </row>
    <row r="219" spans="1:16" x14ac:dyDescent="0.3">
      <c r="A219" s="28">
        <v>26</v>
      </c>
      <c r="B219" s="41" t="str">
        <f t="shared" si="51"/>
        <v>Luka Bakar (Burn Unit)</v>
      </c>
      <c r="C219" s="33">
        <f t="shared" ref="C219:N219" si="79">IFERROR(IF(C$189=0,0,C$158*C184/C$189),"")</f>
        <v>0</v>
      </c>
      <c r="D219" s="33">
        <f t="shared" si="79"/>
        <v>0</v>
      </c>
      <c r="E219" s="33">
        <f t="shared" si="79"/>
        <v>0</v>
      </c>
      <c r="F219" s="33">
        <f t="shared" si="79"/>
        <v>0</v>
      </c>
      <c r="G219" s="33">
        <f t="shared" si="79"/>
        <v>0</v>
      </c>
      <c r="H219" s="33">
        <f t="shared" si="79"/>
        <v>0</v>
      </c>
      <c r="I219" s="33">
        <f t="shared" si="79"/>
        <v>0</v>
      </c>
      <c r="J219" s="33">
        <f t="shared" si="79"/>
        <v>0</v>
      </c>
      <c r="K219" s="33">
        <f t="shared" si="79"/>
        <v>0</v>
      </c>
      <c r="L219" s="33">
        <f t="shared" si="79"/>
        <v>0</v>
      </c>
      <c r="M219" s="33">
        <f t="shared" si="79"/>
        <v>0</v>
      </c>
      <c r="N219" s="33">
        <f t="shared" si="79"/>
        <v>0</v>
      </c>
      <c r="O219" s="33">
        <f t="shared" si="53"/>
        <v>0</v>
      </c>
      <c r="P219" s="33">
        <f t="shared" si="54"/>
        <v>0</v>
      </c>
    </row>
    <row r="220" spans="1:16" x14ac:dyDescent="0.3">
      <c r="A220" s="28">
        <v>27</v>
      </c>
      <c r="B220" s="41" t="str">
        <f t="shared" si="51"/>
        <v>Jiwa / Psikiatri</v>
      </c>
      <c r="C220" s="33">
        <f t="shared" ref="C220:N220" si="80">IFERROR(IF(C$189=0,0,C$158*C185/C$189),"")</f>
        <v>0</v>
      </c>
      <c r="D220" s="33">
        <f t="shared" si="80"/>
        <v>0</v>
      </c>
      <c r="E220" s="33">
        <f t="shared" si="80"/>
        <v>0</v>
      </c>
      <c r="F220" s="33">
        <f t="shared" si="80"/>
        <v>0</v>
      </c>
      <c r="G220" s="33">
        <f t="shared" si="80"/>
        <v>0</v>
      </c>
      <c r="H220" s="33">
        <f t="shared" si="80"/>
        <v>0</v>
      </c>
      <c r="I220" s="33">
        <f t="shared" si="80"/>
        <v>0</v>
      </c>
      <c r="J220" s="33">
        <f t="shared" si="80"/>
        <v>0</v>
      </c>
      <c r="K220" s="33">
        <f t="shared" si="80"/>
        <v>0</v>
      </c>
      <c r="L220" s="33">
        <f t="shared" si="80"/>
        <v>0</v>
      </c>
      <c r="M220" s="33">
        <f t="shared" si="80"/>
        <v>0</v>
      </c>
      <c r="N220" s="33">
        <f t="shared" si="80"/>
        <v>0</v>
      </c>
      <c r="O220" s="33">
        <f t="shared" si="53"/>
        <v>0</v>
      </c>
      <c r="P220" s="33">
        <f t="shared" si="54"/>
        <v>0</v>
      </c>
    </row>
    <row r="221" spans="1:16" x14ac:dyDescent="0.3">
      <c r="A221" s="28">
        <v>28</v>
      </c>
      <c r="B221" s="41" t="str">
        <f t="shared" si="51"/>
        <v>Gigi dan Mulut</v>
      </c>
      <c r="C221" s="33">
        <f t="shared" ref="C221:N221" si="81">IFERROR(IF(C$189=0,0,C$158*C186/C$189),"")</f>
        <v>0</v>
      </c>
      <c r="D221" s="33">
        <f t="shared" si="81"/>
        <v>0</v>
      </c>
      <c r="E221" s="33">
        <f t="shared" si="81"/>
        <v>0</v>
      </c>
      <c r="F221" s="33">
        <f t="shared" si="81"/>
        <v>0</v>
      </c>
      <c r="G221" s="33">
        <f t="shared" si="81"/>
        <v>0</v>
      </c>
      <c r="H221" s="33">
        <f t="shared" si="81"/>
        <v>0</v>
      </c>
      <c r="I221" s="33">
        <f t="shared" si="81"/>
        <v>0</v>
      </c>
      <c r="J221" s="33">
        <f t="shared" si="81"/>
        <v>0</v>
      </c>
      <c r="K221" s="33">
        <f t="shared" si="81"/>
        <v>0</v>
      </c>
      <c r="L221" s="33">
        <f t="shared" si="81"/>
        <v>0</v>
      </c>
      <c r="M221" s="33">
        <f t="shared" si="81"/>
        <v>0</v>
      </c>
      <c r="N221" s="33">
        <f t="shared" si="81"/>
        <v>0</v>
      </c>
      <c r="O221" s="33">
        <f t="shared" si="53"/>
        <v>0</v>
      </c>
      <c r="P221" s="33">
        <f t="shared" si="54"/>
        <v>0</v>
      </c>
    </row>
    <row r="222" spans="1:16" x14ac:dyDescent="0.3">
      <c r="A222" s="28">
        <v>29</v>
      </c>
      <c r="B222" s="41" t="str">
        <f t="shared" si="51"/>
        <v>Forensik dan Medikolegal</v>
      </c>
      <c r="C222" s="33">
        <f t="shared" ref="C222:N222" si="82">IFERROR(IF(C$189=0,0,C$158*C187/C$189),"")</f>
        <v>0</v>
      </c>
      <c r="D222" s="33">
        <f t="shared" si="82"/>
        <v>0</v>
      </c>
      <c r="E222" s="33">
        <f t="shared" si="82"/>
        <v>0</v>
      </c>
      <c r="F222" s="33">
        <f t="shared" si="82"/>
        <v>0</v>
      </c>
      <c r="G222" s="33">
        <f t="shared" si="82"/>
        <v>0</v>
      </c>
      <c r="H222" s="33">
        <f t="shared" si="82"/>
        <v>0</v>
      </c>
      <c r="I222" s="33">
        <f t="shared" si="82"/>
        <v>0</v>
      </c>
      <c r="J222" s="33">
        <f t="shared" si="82"/>
        <v>0</v>
      </c>
      <c r="K222" s="33">
        <f t="shared" si="82"/>
        <v>0</v>
      </c>
      <c r="L222" s="33">
        <f t="shared" si="82"/>
        <v>0</v>
      </c>
      <c r="M222" s="33">
        <f t="shared" si="82"/>
        <v>0</v>
      </c>
      <c r="N222" s="33">
        <f t="shared" si="82"/>
        <v>0</v>
      </c>
      <c r="O222" s="33">
        <f t="shared" si="53"/>
        <v>0</v>
      </c>
      <c r="P222" s="33">
        <f t="shared" si="54"/>
        <v>0</v>
      </c>
    </row>
    <row r="223" spans="1:16" x14ac:dyDescent="0.3">
      <c r="A223" s="28">
        <v>30</v>
      </c>
      <c r="B223" s="41" t="str">
        <f t="shared" si="51"/>
        <v>Rehabilitasi Medik</v>
      </c>
      <c r="C223" s="33">
        <f t="shared" ref="C223:N223" si="83">IFERROR(IF(C$189=0,0,C$158*C188/C$189),"")</f>
        <v>0</v>
      </c>
      <c r="D223" s="33">
        <f t="shared" si="83"/>
        <v>0</v>
      </c>
      <c r="E223" s="33">
        <f t="shared" si="83"/>
        <v>0</v>
      </c>
      <c r="F223" s="33">
        <f t="shared" si="83"/>
        <v>0</v>
      </c>
      <c r="G223" s="33">
        <f t="shared" si="83"/>
        <v>0</v>
      </c>
      <c r="H223" s="33">
        <f t="shared" si="83"/>
        <v>0</v>
      </c>
      <c r="I223" s="33">
        <f t="shared" si="83"/>
        <v>0</v>
      </c>
      <c r="J223" s="33">
        <f t="shared" si="83"/>
        <v>0</v>
      </c>
      <c r="K223" s="33">
        <f t="shared" si="83"/>
        <v>0</v>
      </c>
      <c r="L223" s="33">
        <f t="shared" si="83"/>
        <v>0</v>
      </c>
      <c r="M223" s="33">
        <f t="shared" si="83"/>
        <v>0</v>
      </c>
      <c r="N223" s="33">
        <f t="shared" si="83"/>
        <v>0</v>
      </c>
      <c r="O223" s="33">
        <f t="shared" si="53"/>
        <v>0</v>
      </c>
      <c r="P223" s="33">
        <f t="shared" si="54"/>
        <v>0</v>
      </c>
    </row>
    <row r="224" spans="1:16" x14ac:dyDescent="0.3">
      <c r="B224" s="35" t="s">
        <v>746</v>
      </c>
      <c r="C224" s="36">
        <f t="shared" ref="C224:P224" si="84">IFERROR(SUM(C194:C223),"")</f>
        <v>0</v>
      </c>
      <c r="D224" s="36">
        <f t="shared" si="84"/>
        <v>0</v>
      </c>
      <c r="E224" s="36">
        <f t="shared" si="84"/>
        <v>0</v>
      </c>
      <c r="F224" s="36">
        <f t="shared" si="84"/>
        <v>0</v>
      </c>
      <c r="G224" s="36">
        <f t="shared" si="84"/>
        <v>0</v>
      </c>
      <c r="H224" s="36">
        <f t="shared" si="84"/>
        <v>0</v>
      </c>
      <c r="I224" s="36">
        <f t="shared" si="84"/>
        <v>0</v>
      </c>
      <c r="J224" s="36">
        <f t="shared" si="84"/>
        <v>0</v>
      </c>
      <c r="K224" s="36">
        <f t="shared" si="84"/>
        <v>0</v>
      </c>
      <c r="L224" s="36">
        <f t="shared" si="84"/>
        <v>0</v>
      </c>
      <c r="M224" s="36">
        <f t="shared" si="84"/>
        <v>0</v>
      </c>
      <c r="N224" s="36">
        <f t="shared" si="84"/>
        <v>0</v>
      </c>
      <c r="O224" s="36">
        <f t="shared" si="84"/>
        <v>0</v>
      </c>
      <c r="P224" s="36">
        <f t="shared" si="84"/>
        <v>0</v>
      </c>
    </row>
    <row r="225" spans="1:16" x14ac:dyDescent="0.3">
      <c r="B225" s="28" t="s">
        <v>764</v>
      </c>
      <c r="C225" s="33" t="str">
        <f t="shared" ref="C225:N225" si="85">IFERROR(ROUND(C224-C158,0),"")</f>
        <v/>
      </c>
      <c r="D225" s="33" t="str">
        <f t="shared" si="85"/>
        <v/>
      </c>
      <c r="E225" s="33" t="str">
        <f t="shared" si="85"/>
        <v/>
      </c>
      <c r="F225" s="33" t="str">
        <f t="shared" si="85"/>
        <v/>
      </c>
      <c r="G225" s="33" t="str">
        <f t="shared" si="85"/>
        <v/>
      </c>
      <c r="H225" s="33" t="str">
        <f t="shared" si="85"/>
        <v/>
      </c>
      <c r="I225" s="33" t="str">
        <f t="shared" si="85"/>
        <v/>
      </c>
      <c r="J225" s="33" t="str">
        <f t="shared" si="85"/>
        <v/>
      </c>
      <c r="K225" s="33" t="str">
        <f t="shared" si="85"/>
        <v/>
      </c>
      <c r="L225" s="33" t="str">
        <f t="shared" si="85"/>
        <v/>
      </c>
      <c r="M225" s="33" t="str">
        <f t="shared" si="85"/>
        <v/>
      </c>
      <c r="N225" s="33" t="str">
        <f t="shared" si="85"/>
        <v/>
      </c>
    </row>
    <row r="227" spans="1:16" x14ac:dyDescent="0.3">
      <c r="A227" s="39" t="s">
        <v>765</v>
      </c>
      <c r="B227" s="39"/>
      <c r="C227" s="39"/>
      <c r="D227" s="39"/>
      <c r="E227" s="39"/>
      <c r="F227" s="39"/>
      <c r="G227" s="39"/>
      <c r="H227" s="39"/>
      <c r="I227" s="39"/>
      <c r="J227" s="39"/>
      <c r="K227" s="39"/>
      <c r="L227" s="39"/>
      <c r="M227" s="39"/>
      <c r="N227" s="39"/>
      <c r="O227" s="39"/>
      <c r="P227" s="39"/>
    </row>
    <row r="228" spans="1:16" x14ac:dyDescent="0.3">
      <c r="A228" s="40" t="s">
        <v>600</v>
      </c>
      <c r="B228" s="40" t="s">
        <v>761</v>
      </c>
      <c r="C228" s="40" t="s">
        <v>766</v>
      </c>
      <c r="D228" s="40" t="s">
        <v>767</v>
      </c>
      <c r="E228" s="40" t="s">
        <v>152</v>
      </c>
      <c r="F228" s="40" t="s">
        <v>762</v>
      </c>
      <c r="G228" s="40" t="s">
        <v>768</v>
      </c>
      <c r="H228" s="40" t="s">
        <v>769</v>
      </c>
      <c r="I228" s="40" t="s">
        <v>770</v>
      </c>
      <c r="J228" s="40" t="s">
        <v>771</v>
      </c>
      <c r="K228" s="40" t="s">
        <v>772</v>
      </c>
      <c r="L228" s="40" t="s">
        <v>773</v>
      </c>
      <c r="M228" s="40" t="s">
        <v>763</v>
      </c>
      <c r="N228" s="40" t="s">
        <v>774</v>
      </c>
      <c r="O228" s="40" t="s">
        <v>775</v>
      </c>
    </row>
    <row r="229" spans="1:16" x14ac:dyDescent="0.3">
      <c r="A229" s="28">
        <v>1</v>
      </c>
      <c r="B229" s="41" t="str">
        <f>IFERROR('Costing Template'!B38,"")</f>
        <v>Kamar Rawat Inap Standar (KRIS) C</v>
      </c>
      <c r="C229" s="41" t="str">
        <f>IFERROR(IF('Costing Template'!C38="hari_rawat","hari rawat","kunjungan"),"")</f>
        <v>hari rawat</v>
      </c>
      <c r="D229" s="33" t="str">
        <f>IFERROR('Costing Template'!S38,"")</f>
        <v/>
      </c>
      <c r="E229" s="33">
        <f t="shared" ref="E229:E258" si="86">IFERROR(O104,"")</f>
        <v>0</v>
      </c>
      <c r="F229" s="33">
        <f t="shared" ref="F229:F258" si="87">IFERROR(O194,"")</f>
        <v>0</v>
      </c>
      <c r="G229" s="33" t="str">
        <f t="shared" ref="G229:G258" si="88">IFERROR(D229+E229+F229,"")</f>
        <v/>
      </c>
      <c r="H229" s="33">
        <f>IFERROR(IF(C229="hari rawat",N('Costing Template'!E38),N('Costing Template'!G38)),"")</f>
        <v>0</v>
      </c>
      <c r="I229" s="36" t="str">
        <f t="shared" ref="I229:I258" si="89">IFERROR(IF(H229&gt;0,G229/H229,""),"")</f>
        <v/>
      </c>
      <c r="J229" s="32"/>
      <c r="K229" s="32"/>
      <c r="L229" s="42" t="str">
        <f t="shared" ref="L229:L258" si="90">IFERROR(IF(OR(J229="",I229=""),"-",IF(AND(I229&gt;=J229,I229&lt;=K229),"SESUAI","CEK")),"")</f>
        <v>-</v>
      </c>
      <c r="M229" s="33">
        <f t="shared" ref="M229:M258" si="91">IFERROR(P194,"")</f>
        <v>0</v>
      </c>
      <c r="N229" s="33" t="str">
        <f t="shared" ref="N229:N258" si="92">IFERROR(G229+M229,"")</f>
        <v/>
      </c>
      <c r="O229" s="33" t="str">
        <f t="shared" ref="O229:O258" si="93">IFERROR(IF(H229&gt;0,N229/H229,""),"")</f>
        <v/>
      </c>
    </row>
    <row r="230" spans="1:16" x14ac:dyDescent="0.3">
      <c r="A230" s="28">
        <v>2</v>
      </c>
      <c r="B230" s="41" t="str">
        <f>IFERROR('Costing Template'!B39,"")</f>
        <v>Kamar Rawat Inap Standar (KRIS) B</v>
      </c>
      <c r="C230" s="41" t="str">
        <f>IFERROR(IF('Costing Template'!C39="hari_rawat","hari rawat","kunjungan"),"")</f>
        <v>hari rawat</v>
      </c>
      <c r="D230" s="33" t="str">
        <f>IFERROR('Costing Template'!S39,"")</f>
        <v/>
      </c>
      <c r="E230" s="33">
        <f t="shared" si="86"/>
        <v>0</v>
      </c>
      <c r="F230" s="33">
        <f t="shared" si="87"/>
        <v>0</v>
      </c>
      <c r="G230" s="33" t="str">
        <f t="shared" si="88"/>
        <v/>
      </c>
      <c r="H230" s="33">
        <f>IFERROR(IF(C230="hari rawat",N('Costing Template'!E39),N('Costing Template'!G39)),"")</f>
        <v>0</v>
      </c>
      <c r="I230" s="36" t="str">
        <f t="shared" si="89"/>
        <v/>
      </c>
      <c r="J230" s="32"/>
      <c r="K230" s="32"/>
      <c r="L230" s="42" t="str">
        <f t="shared" si="90"/>
        <v>-</v>
      </c>
      <c r="M230" s="33">
        <f t="shared" si="91"/>
        <v>0</v>
      </c>
      <c r="N230" s="33" t="str">
        <f t="shared" si="92"/>
        <v/>
      </c>
      <c r="O230" s="33" t="str">
        <f t="shared" si="93"/>
        <v/>
      </c>
    </row>
    <row r="231" spans="1:16" x14ac:dyDescent="0.3">
      <c r="A231" s="28">
        <v>3</v>
      </c>
      <c r="B231" s="41" t="str">
        <f>IFERROR('Costing Template'!B40,"")</f>
        <v>Kamar Rawat Inap Standar (KRIS) A</v>
      </c>
      <c r="C231" s="41" t="str">
        <f>IFERROR(IF('Costing Template'!C40="hari_rawat","hari rawat","kunjungan"),"")</f>
        <v>hari rawat</v>
      </c>
      <c r="D231" s="33" t="str">
        <f>IFERROR('Costing Template'!S40,"")</f>
        <v/>
      </c>
      <c r="E231" s="33">
        <f t="shared" si="86"/>
        <v>0</v>
      </c>
      <c r="F231" s="33">
        <f t="shared" si="87"/>
        <v>0</v>
      </c>
      <c r="G231" s="33" t="str">
        <f t="shared" si="88"/>
        <v/>
      </c>
      <c r="H231" s="33">
        <f>IFERROR(IF(C231="hari rawat",N('Costing Template'!E40),N('Costing Template'!G40)),"")</f>
        <v>0</v>
      </c>
      <c r="I231" s="36" t="str">
        <f t="shared" si="89"/>
        <v/>
      </c>
      <c r="J231" s="32"/>
      <c r="K231" s="32"/>
      <c r="L231" s="42" t="str">
        <f t="shared" si="90"/>
        <v>-</v>
      </c>
      <c r="M231" s="33">
        <f t="shared" si="91"/>
        <v>0</v>
      </c>
      <c r="N231" s="33" t="str">
        <f t="shared" si="92"/>
        <v/>
      </c>
      <c r="O231" s="33" t="str">
        <f t="shared" si="93"/>
        <v/>
      </c>
    </row>
    <row r="232" spans="1:16" x14ac:dyDescent="0.3">
      <c r="A232" s="28">
        <v>4</v>
      </c>
      <c r="B232" s="41" t="str">
        <f>IFERROR('Costing Template'!B41,"")</f>
        <v>Kamar VIP/VVIP/Suite</v>
      </c>
      <c r="C232" s="41" t="str">
        <f>IFERROR(IF('Costing Template'!C41="hari_rawat","hari rawat","kunjungan"),"")</f>
        <v>hari rawat</v>
      </c>
      <c r="D232" s="33" t="str">
        <f>IFERROR('Costing Template'!S41,"")</f>
        <v/>
      </c>
      <c r="E232" s="33">
        <f t="shared" si="86"/>
        <v>0</v>
      </c>
      <c r="F232" s="33">
        <f t="shared" si="87"/>
        <v>0</v>
      </c>
      <c r="G232" s="33" t="str">
        <f t="shared" si="88"/>
        <v/>
      </c>
      <c r="H232" s="33">
        <f>IFERROR(IF(C232="hari rawat",N('Costing Template'!E41),N('Costing Template'!G41)),"")</f>
        <v>0</v>
      </c>
      <c r="I232" s="36" t="str">
        <f t="shared" si="89"/>
        <v/>
      </c>
      <c r="J232" s="32"/>
      <c r="K232" s="32"/>
      <c r="L232" s="42" t="str">
        <f t="shared" si="90"/>
        <v>-</v>
      </c>
      <c r="M232" s="33">
        <f t="shared" si="91"/>
        <v>0</v>
      </c>
      <c r="N232" s="33" t="str">
        <f t="shared" si="92"/>
        <v/>
      </c>
      <c r="O232" s="33" t="str">
        <f t="shared" si="93"/>
        <v/>
      </c>
    </row>
    <row r="233" spans="1:16" x14ac:dyDescent="0.3">
      <c r="A233" s="28">
        <v>5</v>
      </c>
      <c r="B233" s="41" t="str">
        <f>IFERROR('Costing Template'!B42,"")</f>
        <v>Kamar ICU/ICCU/NICU/PICU/HCU</v>
      </c>
      <c r="C233" s="41" t="str">
        <f>IFERROR(IF('Costing Template'!C42="hari_rawat","hari rawat","kunjungan"),"")</f>
        <v>hari rawat</v>
      </c>
      <c r="D233" s="33" t="str">
        <f>IFERROR('Costing Template'!S42,"")</f>
        <v/>
      </c>
      <c r="E233" s="33">
        <f t="shared" si="86"/>
        <v>0</v>
      </c>
      <c r="F233" s="33">
        <f t="shared" si="87"/>
        <v>0</v>
      </c>
      <c r="G233" s="33" t="str">
        <f t="shared" si="88"/>
        <v/>
      </c>
      <c r="H233" s="33">
        <f>IFERROR(IF(C233="hari rawat",N('Costing Template'!E42),N('Costing Template'!G42)),"")</f>
        <v>0</v>
      </c>
      <c r="I233" s="36" t="str">
        <f t="shared" si="89"/>
        <v/>
      </c>
      <c r="J233" s="41"/>
      <c r="K233" s="41"/>
      <c r="L233" s="42" t="str">
        <f t="shared" si="90"/>
        <v>-</v>
      </c>
      <c r="M233" s="33">
        <f t="shared" si="91"/>
        <v>0</v>
      </c>
      <c r="N233" s="33" t="str">
        <f t="shared" si="92"/>
        <v/>
      </c>
      <c r="O233" s="33" t="str">
        <f t="shared" si="93"/>
        <v/>
      </c>
    </row>
    <row r="234" spans="1:16" x14ac:dyDescent="0.3">
      <c r="A234" s="28">
        <v>6</v>
      </c>
      <c r="B234" s="41" t="str">
        <f>IFERROR('Costing Template'!B43,"")</f>
        <v>Instalasi Gawat Darurat (IGD)</v>
      </c>
      <c r="C234" s="41" t="str">
        <f>IFERROR(IF('Costing Template'!C43="hari_rawat","hari rawat","kunjungan"),"")</f>
        <v>kunjungan</v>
      </c>
      <c r="D234" s="33" t="str">
        <f>IFERROR('Costing Template'!S43,"")</f>
        <v/>
      </c>
      <c r="E234" s="33">
        <f t="shared" si="86"/>
        <v>0</v>
      </c>
      <c r="F234" s="33">
        <f t="shared" si="87"/>
        <v>0</v>
      </c>
      <c r="G234" s="33" t="str">
        <f t="shared" si="88"/>
        <v/>
      </c>
      <c r="H234" s="33">
        <f>IFERROR(IF(C234="hari rawat",N('Costing Template'!E43),N('Costing Template'!G43)),"")</f>
        <v>0</v>
      </c>
      <c r="I234" s="36" t="str">
        <f t="shared" si="89"/>
        <v/>
      </c>
      <c r="J234" s="41"/>
      <c r="K234" s="41"/>
      <c r="L234" s="42" t="str">
        <f t="shared" si="90"/>
        <v>-</v>
      </c>
      <c r="M234" s="33">
        <f t="shared" si="91"/>
        <v>0</v>
      </c>
      <c r="N234" s="33" t="str">
        <f t="shared" si="92"/>
        <v/>
      </c>
      <c r="O234" s="33" t="str">
        <f t="shared" si="93"/>
        <v/>
      </c>
    </row>
    <row r="235" spans="1:16" x14ac:dyDescent="0.3">
      <c r="A235" s="28">
        <v>7</v>
      </c>
      <c r="B235" s="41" t="str">
        <f>IFERROR('Costing Template'!B44,"")</f>
        <v>Neoplasma dan Myeloproliferative</v>
      </c>
      <c r="C235" s="41" t="str">
        <f>IFERROR(IF('Costing Template'!C44="hari_rawat","hari rawat","kunjungan"),"")</f>
        <v>kunjungan</v>
      </c>
      <c r="D235" s="33" t="str">
        <f>IFERROR('Costing Template'!S44,"")</f>
        <v/>
      </c>
      <c r="E235" s="33">
        <f t="shared" si="86"/>
        <v>0</v>
      </c>
      <c r="F235" s="33">
        <f t="shared" si="87"/>
        <v>0</v>
      </c>
      <c r="G235" s="33" t="str">
        <f t="shared" si="88"/>
        <v/>
      </c>
      <c r="H235" s="33">
        <f>IFERROR(IF(C235="hari rawat",N('Costing Template'!E44),N('Costing Template'!G44)),"")</f>
        <v>0</v>
      </c>
      <c r="I235" s="36" t="str">
        <f t="shared" si="89"/>
        <v/>
      </c>
      <c r="J235" s="41"/>
      <c r="K235" s="41"/>
      <c r="L235" s="42" t="str">
        <f t="shared" si="90"/>
        <v>-</v>
      </c>
      <c r="M235" s="33">
        <f t="shared" si="91"/>
        <v>0</v>
      </c>
      <c r="N235" s="33" t="str">
        <f t="shared" si="92"/>
        <v/>
      </c>
      <c r="O235" s="33" t="str">
        <f t="shared" si="93"/>
        <v/>
      </c>
    </row>
    <row r="236" spans="1:16" x14ac:dyDescent="0.3">
      <c r="A236" s="28">
        <v>8</v>
      </c>
      <c r="B236" s="41" t="str">
        <f>IFERROR('Costing Template'!B45,"")</f>
        <v>Jantung dan Pembuluh Darah</v>
      </c>
      <c r="C236" s="41" t="str">
        <f>IFERROR(IF('Costing Template'!C45="hari_rawat","hari rawat","kunjungan"),"")</f>
        <v>kunjungan</v>
      </c>
      <c r="D236" s="33" t="str">
        <f>IFERROR('Costing Template'!S45,"")</f>
        <v/>
      </c>
      <c r="E236" s="33">
        <f t="shared" si="86"/>
        <v>0</v>
      </c>
      <c r="F236" s="33">
        <f t="shared" si="87"/>
        <v>0</v>
      </c>
      <c r="G236" s="33" t="str">
        <f t="shared" si="88"/>
        <v/>
      </c>
      <c r="H236" s="33">
        <f>IFERROR(IF(C236="hari rawat",N('Costing Template'!E45),N('Costing Template'!G45)),"")</f>
        <v>0</v>
      </c>
      <c r="I236" s="36" t="str">
        <f t="shared" si="89"/>
        <v/>
      </c>
      <c r="J236" s="41"/>
      <c r="K236" s="41"/>
      <c r="L236" s="42" t="str">
        <f t="shared" si="90"/>
        <v>-</v>
      </c>
      <c r="M236" s="33">
        <f t="shared" si="91"/>
        <v>0</v>
      </c>
      <c r="N236" s="33" t="str">
        <f t="shared" si="92"/>
        <v/>
      </c>
      <c r="O236" s="33" t="str">
        <f t="shared" si="93"/>
        <v/>
      </c>
    </row>
    <row r="237" spans="1:16" x14ac:dyDescent="0.3">
      <c r="A237" s="28">
        <v>9</v>
      </c>
      <c r="B237" s="41" t="str">
        <f>IFERROR('Costing Template'!B46,"")</f>
        <v>Saraf / Neuroscience</v>
      </c>
      <c r="C237" s="41" t="str">
        <f>IFERROR(IF('Costing Template'!C46="hari_rawat","hari rawat","kunjungan"),"")</f>
        <v>kunjungan</v>
      </c>
      <c r="D237" s="33" t="str">
        <f>IFERROR('Costing Template'!S46,"")</f>
        <v/>
      </c>
      <c r="E237" s="33">
        <f t="shared" si="86"/>
        <v>0</v>
      </c>
      <c r="F237" s="33">
        <f t="shared" si="87"/>
        <v>0</v>
      </c>
      <c r="G237" s="33" t="str">
        <f t="shared" si="88"/>
        <v/>
      </c>
      <c r="H237" s="33">
        <f>IFERROR(IF(C237="hari rawat",N('Costing Template'!E46),N('Costing Template'!G46)),"")</f>
        <v>0</v>
      </c>
      <c r="I237" s="36" t="str">
        <f t="shared" si="89"/>
        <v/>
      </c>
      <c r="J237" s="41"/>
      <c r="K237" s="41"/>
      <c r="L237" s="42" t="str">
        <f t="shared" si="90"/>
        <v>-</v>
      </c>
      <c r="M237" s="33">
        <f t="shared" si="91"/>
        <v>0</v>
      </c>
      <c r="N237" s="33" t="str">
        <f t="shared" si="92"/>
        <v/>
      </c>
      <c r="O237" s="33" t="str">
        <f t="shared" si="93"/>
        <v/>
      </c>
    </row>
    <row r="238" spans="1:16" x14ac:dyDescent="0.3">
      <c r="A238" s="28">
        <v>10</v>
      </c>
      <c r="B238" s="41" t="str">
        <f>IFERROR('Costing Template'!B47,"")</f>
        <v>Kesehatan Ibu dan Ginekologi</v>
      </c>
      <c r="C238" s="41" t="str">
        <f>IFERROR(IF('Costing Template'!C47="hari_rawat","hari rawat","kunjungan"),"")</f>
        <v>kunjungan</v>
      </c>
      <c r="D238" s="33" t="str">
        <f>IFERROR('Costing Template'!S47,"")</f>
        <v/>
      </c>
      <c r="E238" s="33">
        <f t="shared" si="86"/>
        <v>0</v>
      </c>
      <c r="F238" s="33">
        <f t="shared" si="87"/>
        <v>0</v>
      </c>
      <c r="G238" s="33" t="str">
        <f t="shared" si="88"/>
        <v/>
      </c>
      <c r="H238" s="33">
        <f>IFERROR(IF(C238="hari rawat",N('Costing Template'!E47),N('Costing Template'!G47)),"")</f>
        <v>0</v>
      </c>
      <c r="I238" s="36" t="str">
        <f t="shared" si="89"/>
        <v/>
      </c>
      <c r="J238" s="41"/>
      <c r="K238" s="41"/>
      <c r="L238" s="42" t="str">
        <f t="shared" si="90"/>
        <v>-</v>
      </c>
      <c r="M238" s="33">
        <f t="shared" si="91"/>
        <v>0</v>
      </c>
      <c r="N238" s="33" t="str">
        <f t="shared" si="92"/>
        <v/>
      </c>
      <c r="O238" s="33" t="str">
        <f t="shared" si="93"/>
        <v/>
      </c>
    </row>
    <row r="239" spans="1:16" x14ac:dyDescent="0.3">
      <c r="A239" s="28">
        <v>11</v>
      </c>
      <c r="B239" s="41" t="str">
        <f>IFERROR('Costing Template'!B48,"")</f>
        <v>Kesehatan Neonatus</v>
      </c>
      <c r="C239" s="41" t="str">
        <f>IFERROR(IF('Costing Template'!C48="hari_rawat","hari rawat","kunjungan"),"")</f>
        <v>kunjungan</v>
      </c>
      <c r="D239" s="33" t="str">
        <f>IFERROR('Costing Template'!S48,"")</f>
        <v/>
      </c>
      <c r="E239" s="33">
        <f t="shared" si="86"/>
        <v>0</v>
      </c>
      <c r="F239" s="33">
        <f t="shared" si="87"/>
        <v>0</v>
      </c>
      <c r="G239" s="33" t="str">
        <f t="shared" si="88"/>
        <v/>
      </c>
      <c r="H239" s="33">
        <f>IFERROR(IF(C239="hari rawat",N('Costing Template'!E48),N('Costing Template'!G48)),"")</f>
        <v>0</v>
      </c>
      <c r="I239" s="36" t="str">
        <f t="shared" si="89"/>
        <v/>
      </c>
      <c r="J239" s="41"/>
      <c r="K239" s="41"/>
      <c r="L239" s="42" t="str">
        <f t="shared" si="90"/>
        <v>-</v>
      </c>
      <c r="M239" s="33">
        <f t="shared" si="91"/>
        <v>0</v>
      </c>
      <c r="N239" s="33" t="str">
        <f t="shared" si="92"/>
        <v/>
      </c>
      <c r="O239" s="33" t="str">
        <f t="shared" si="93"/>
        <v/>
      </c>
    </row>
    <row r="240" spans="1:16" x14ac:dyDescent="0.3">
      <c r="A240" s="28">
        <v>12</v>
      </c>
      <c r="B240" s="41" t="str">
        <f>IFERROR('Costing Template'!B49,"")</f>
        <v>Sistem Pencernaan dan Hepatobiliar</v>
      </c>
      <c r="C240" s="41" t="str">
        <f>IFERROR(IF('Costing Template'!C49="hari_rawat","hari rawat","kunjungan"),"")</f>
        <v>kunjungan</v>
      </c>
      <c r="D240" s="33" t="str">
        <f>IFERROR('Costing Template'!S49,"")</f>
        <v/>
      </c>
      <c r="E240" s="33">
        <f t="shared" si="86"/>
        <v>0</v>
      </c>
      <c r="F240" s="33">
        <f t="shared" si="87"/>
        <v>0</v>
      </c>
      <c r="G240" s="33" t="str">
        <f t="shared" si="88"/>
        <v/>
      </c>
      <c r="H240" s="33">
        <f>IFERROR(IF(C240="hari rawat",N('Costing Template'!E49),N('Costing Template'!G49)),"")</f>
        <v>0</v>
      </c>
      <c r="I240" s="36" t="str">
        <f t="shared" si="89"/>
        <v/>
      </c>
      <c r="J240" s="41"/>
      <c r="K240" s="41"/>
      <c r="L240" s="42" t="str">
        <f t="shared" si="90"/>
        <v>-</v>
      </c>
      <c r="M240" s="33">
        <f t="shared" si="91"/>
        <v>0</v>
      </c>
      <c r="N240" s="33" t="str">
        <f t="shared" si="92"/>
        <v/>
      </c>
      <c r="O240" s="33" t="str">
        <f t="shared" si="93"/>
        <v/>
      </c>
    </row>
    <row r="241" spans="1:15" x14ac:dyDescent="0.3">
      <c r="A241" s="28">
        <v>13</v>
      </c>
      <c r="B241" s="41" t="str">
        <f>IFERROR('Costing Template'!B50,"")</f>
        <v>Uronefro (Urologi dan Nefrologi)</v>
      </c>
      <c r="C241" s="41" t="str">
        <f>IFERROR(IF('Costing Template'!C50="hari_rawat","hari rawat","kunjungan"),"")</f>
        <v>kunjungan</v>
      </c>
      <c r="D241" s="33" t="str">
        <f>IFERROR('Costing Template'!S50,"")</f>
        <v/>
      </c>
      <c r="E241" s="33">
        <f t="shared" si="86"/>
        <v>0</v>
      </c>
      <c r="F241" s="33">
        <f t="shared" si="87"/>
        <v>0</v>
      </c>
      <c r="G241" s="33" t="str">
        <f t="shared" si="88"/>
        <v/>
      </c>
      <c r="H241" s="33">
        <f>IFERROR(IF(C241="hari rawat",N('Costing Template'!E50),N('Costing Template'!G50)),"")</f>
        <v>0</v>
      </c>
      <c r="I241" s="36" t="str">
        <f t="shared" si="89"/>
        <v/>
      </c>
      <c r="J241" s="41"/>
      <c r="K241" s="41"/>
      <c r="L241" s="42" t="str">
        <f t="shared" si="90"/>
        <v>-</v>
      </c>
      <c r="M241" s="33">
        <f t="shared" si="91"/>
        <v>0</v>
      </c>
      <c r="N241" s="33" t="str">
        <f t="shared" si="92"/>
        <v/>
      </c>
      <c r="O241" s="33" t="str">
        <f t="shared" si="93"/>
        <v/>
      </c>
    </row>
    <row r="242" spans="1:15" x14ac:dyDescent="0.3">
      <c r="A242" s="28">
        <v>14</v>
      </c>
      <c r="B242" s="41" t="str">
        <f>IFERROR('Costing Template'!B51,"")</f>
        <v>Musculoskeletal dan Jaringan Lunak</v>
      </c>
      <c r="C242" s="41" t="str">
        <f>IFERROR(IF('Costing Template'!C51="hari_rawat","hari rawat","kunjungan"),"")</f>
        <v>kunjungan</v>
      </c>
      <c r="D242" s="33" t="str">
        <f>IFERROR('Costing Template'!S51,"")</f>
        <v/>
      </c>
      <c r="E242" s="33">
        <f t="shared" si="86"/>
        <v>0</v>
      </c>
      <c r="F242" s="33">
        <f t="shared" si="87"/>
        <v>0</v>
      </c>
      <c r="G242" s="33" t="str">
        <f t="shared" si="88"/>
        <v/>
      </c>
      <c r="H242" s="33">
        <f>IFERROR(IF(C242="hari rawat",N('Costing Template'!E51),N('Costing Template'!G51)),"")</f>
        <v>0</v>
      </c>
      <c r="I242" s="36" t="str">
        <f t="shared" si="89"/>
        <v/>
      </c>
      <c r="J242" s="41"/>
      <c r="K242" s="41"/>
      <c r="L242" s="42" t="str">
        <f t="shared" si="90"/>
        <v>-</v>
      </c>
      <c r="M242" s="33">
        <f t="shared" si="91"/>
        <v>0</v>
      </c>
      <c r="N242" s="33" t="str">
        <f t="shared" si="92"/>
        <v/>
      </c>
      <c r="O242" s="33" t="str">
        <f t="shared" si="93"/>
        <v/>
      </c>
    </row>
    <row r="243" spans="1:15" x14ac:dyDescent="0.3">
      <c r="A243" s="28">
        <v>15</v>
      </c>
      <c r="B243" s="41" t="str">
        <f>IFERROR('Costing Template'!B52,"")</f>
        <v>Rekonstruksi dan Estetika</v>
      </c>
      <c r="C243" s="41" t="str">
        <f>IFERROR(IF('Costing Template'!C52="hari_rawat","hari rawat","kunjungan"),"")</f>
        <v>kunjungan</v>
      </c>
      <c r="D243" s="33" t="str">
        <f>IFERROR('Costing Template'!S52,"")</f>
        <v/>
      </c>
      <c r="E243" s="33">
        <f t="shared" si="86"/>
        <v>0</v>
      </c>
      <c r="F243" s="33">
        <f t="shared" si="87"/>
        <v>0</v>
      </c>
      <c r="G243" s="33" t="str">
        <f t="shared" si="88"/>
        <v/>
      </c>
      <c r="H243" s="33">
        <f>IFERROR(IF(C243="hari rawat",N('Costing Template'!E52),N('Costing Template'!G52)),"")</f>
        <v>0</v>
      </c>
      <c r="I243" s="36" t="str">
        <f t="shared" si="89"/>
        <v/>
      </c>
      <c r="J243" s="41"/>
      <c r="K243" s="41"/>
      <c r="L243" s="42" t="str">
        <f t="shared" si="90"/>
        <v>-</v>
      </c>
      <c r="M243" s="33">
        <f t="shared" si="91"/>
        <v>0</v>
      </c>
      <c r="N243" s="33" t="str">
        <f t="shared" si="92"/>
        <v/>
      </c>
      <c r="O243" s="33" t="str">
        <f t="shared" si="93"/>
        <v/>
      </c>
    </row>
    <row r="244" spans="1:15" x14ac:dyDescent="0.3">
      <c r="A244" s="28">
        <v>16</v>
      </c>
      <c r="B244" s="41" t="str">
        <f>IFERROR('Costing Template'!B53,"")</f>
        <v>Trauma</v>
      </c>
      <c r="C244" s="41" t="str">
        <f>IFERROR(IF('Costing Template'!C53="hari_rawat","hari rawat","kunjungan"),"")</f>
        <v>kunjungan</v>
      </c>
      <c r="D244" s="33" t="str">
        <f>IFERROR('Costing Template'!S53,"")</f>
        <v/>
      </c>
      <c r="E244" s="33">
        <f t="shared" si="86"/>
        <v>0</v>
      </c>
      <c r="F244" s="33">
        <f t="shared" si="87"/>
        <v>0</v>
      </c>
      <c r="G244" s="33" t="str">
        <f t="shared" si="88"/>
        <v/>
      </c>
      <c r="H244" s="33">
        <f>IFERROR(IF(C244="hari rawat",N('Costing Template'!E53),N('Costing Template'!G53)),"")</f>
        <v>0</v>
      </c>
      <c r="I244" s="36" t="str">
        <f t="shared" si="89"/>
        <v/>
      </c>
      <c r="J244" s="41"/>
      <c r="K244" s="41"/>
      <c r="L244" s="42" t="str">
        <f t="shared" si="90"/>
        <v>-</v>
      </c>
      <c r="M244" s="33">
        <f t="shared" si="91"/>
        <v>0</v>
      </c>
      <c r="N244" s="33" t="str">
        <f t="shared" si="92"/>
        <v/>
      </c>
      <c r="O244" s="33" t="str">
        <f t="shared" si="93"/>
        <v/>
      </c>
    </row>
    <row r="245" spans="1:15" x14ac:dyDescent="0.3">
      <c r="A245" s="28">
        <v>17</v>
      </c>
      <c r="B245" s="41" t="str">
        <f>IFERROR('Costing Template'!B54,"")</f>
        <v>Paru</v>
      </c>
      <c r="C245" s="41" t="str">
        <f>IFERROR(IF('Costing Template'!C54="hari_rawat","hari rawat","kunjungan"),"")</f>
        <v>kunjungan</v>
      </c>
      <c r="D245" s="33" t="str">
        <f>IFERROR('Costing Template'!S54,"")</f>
        <v/>
      </c>
      <c r="E245" s="33">
        <f t="shared" si="86"/>
        <v>0</v>
      </c>
      <c r="F245" s="33">
        <f t="shared" si="87"/>
        <v>0</v>
      </c>
      <c r="G245" s="33" t="str">
        <f t="shared" si="88"/>
        <v/>
      </c>
      <c r="H245" s="33">
        <f>IFERROR(IF(C245="hari rawat",N('Costing Template'!E54),N('Costing Template'!G54)),"")</f>
        <v>0</v>
      </c>
      <c r="I245" s="36" t="str">
        <f t="shared" si="89"/>
        <v/>
      </c>
      <c r="J245" s="41"/>
      <c r="K245" s="41"/>
      <c r="L245" s="42" t="str">
        <f t="shared" si="90"/>
        <v>-</v>
      </c>
      <c r="M245" s="33">
        <f t="shared" si="91"/>
        <v>0</v>
      </c>
      <c r="N245" s="33" t="str">
        <f t="shared" si="92"/>
        <v/>
      </c>
      <c r="O245" s="33" t="str">
        <f t="shared" si="93"/>
        <v/>
      </c>
    </row>
    <row r="246" spans="1:15" x14ac:dyDescent="0.3">
      <c r="A246" s="28">
        <v>18</v>
      </c>
      <c r="B246" s="41" t="str">
        <f>IFERROR('Costing Template'!B55,"")</f>
        <v>THT (Telinga, Hidung, Tenggorokan)</v>
      </c>
      <c r="C246" s="41" t="str">
        <f>IFERROR(IF('Costing Template'!C55="hari_rawat","hari rawat","kunjungan"),"")</f>
        <v>kunjungan</v>
      </c>
      <c r="D246" s="33" t="str">
        <f>IFERROR('Costing Template'!S55,"")</f>
        <v/>
      </c>
      <c r="E246" s="33">
        <f t="shared" si="86"/>
        <v>0</v>
      </c>
      <c r="F246" s="33">
        <f t="shared" si="87"/>
        <v>0</v>
      </c>
      <c r="G246" s="33" t="str">
        <f t="shared" si="88"/>
        <v/>
      </c>
      <c r="H246" s="33">
        <f>IFERROR(IF(C246="hari rawat",N('Costing Template'!E55),N('Costing Template'!G55)),"")</f>
        <v>0</v>
      </c>
      <c r="I246" s="36" t="str">
        <f t="shared" si="89"/>
        <v/>
      </c>
      <c r="J246" s="41"/>
      <c r="K246" s="41"/>
      <c r="L246" s="42" t="str">
        <f t="shared" si="90"/>
        <v>-</v>
      </c>
      <c r="M246" s="33">
        <f t="shared" si="91"/>
        <v>0</v>
      </c>
      <c r="N246" s="33" t="str">
        <f t="shared" si="92"/>
        <v/>
      </c>
      <c r="O246" s="33" t="str">
        <f t="shared" si="93"/>
        <v/>
      </c>
    </row>
    <row r="247" spans="1:15" x14ac:dyDescent="0.3">
      <c r="A247" s="28">
        <v>19</v>
      </c>
      <c r="B247" s="41" t="str">
        <f>IFERROR('Costing Template'!B56,"")</f>
        <v>Mata</v>
      </c>
      <c r="C247" s="41" t="str">
        <f>IFERROR(IF('Costing Template'!C56="hari_rawat","hari rawat","kunjungan"),"")</f>
        <v>kunjungan</v>
      </c>
      <c r="D247" s="33" t="str">
        <f>IFERROR('Costing Template'!S56,"")</f>
        <v/>
      </c>
      <c r="E247" s="33">
        <f t="shared" si="86"/>
        <v>0</v>
      </c>
      <c r="F247" s="33">
        <f t="shared" si="87"/>
        <v>0</v>
      </c>
      <c r="G247" s="33" t="str">
        <f t="shared" si="88"/>
        <v/>
      </c>
      <c r="H247" s="33">
        <f>IFERROR(IF(C247="hari rawat",N('Costing Template'!E56),N('Costing Template'!G56)),"")</f>
        <v>0</v>
      </c>
      <c r="I247" s="36" t="str">
        <f t="shared" si="89"/>
        <v/>
      </c>
      <c r="J247" s="41"/>
      <c r="K247" s="41"/>
      <c r="L247" s="42" t="str">
        <f t="shared" si="90"/>
        <v>-</v>
      </c>
      <c r="M247" s="33">
        <f t="shared" si="91"/>
        <v>0</v>
      </c>
      <c r="N247" s="33" t="str">
        <f t="shared" si="92"/>
        <v/>
      </c>
      <c r="O247" s="33" t="str">
        <f t="shared" si="93"/>
        <v/>
      </c>
    </row>
    <row r="248" spans="1:15" x14ac:dyDescent="0.3">
      <c r="A248" s="28">
        <v>20</v>
      </c>
      <c r="B248" s="41" t="str">
        <f>IFERROR('Costing Template'!B57,"")</f>
        <v>Kulit dan Kelamin</v>
      </c>
      <c r="C248" s="41" t="str">
        <f>IFERROR(IF('Costing Template'!C57="hari_rawat","hari rawat","kunjungan"),"")</f>
        <v>kunjungan</v>
      </c>
      <c r="D248" s="33" t="str">
        <f>IFERROR('Costing Template'!S57,"")</f>
        <v/>
      </c>
      <c r="E248" s="33">
        <f t="shared" si="86"/>
        <v>0</v>
      </c>
      <c r="F248" s="33">
        <f t="shared" si="87"/>
        <v>0</v>
      </c>
      <c r="G248" s="33" t="str">
        <f t="shared" si="88"/>
        <v/>
      </c>
      <c r="H248" s="33">
        <f>IFERROR(IF(C248="hari rawat",N('Costing Template'!E57),N('Costing Template'!G57)),"")</f>
        <v>0</v>
      </c>
      <c r="I248" s="36" t="str">
        <f t="shared" si="89"/>
        <v/>
      </c>
      <c r="J248" s="41"/>
      <c r="K248" s="41"/>
      <c r="L248" s="42" t="str">
        <f t="shared" si="90"/>
        <v>-</v>
      </c>
      <c r="M248" s="33">
        <f t="shared" si="91"/>
        <v>0</v>
      </c>
      <c r="N248" s="33" t="str">
        <f t="shared" si="92"/>
        <v/>
      </c>
      <c r="O248" s="33" t="str">
        <f t="shared" si="93"/>
        <v/>
      </c>
    </row>
    <row r="249" spans="1:15" x14ac:dyDescent="0.3">
      <c r="A249" s="28">
        <v>21</v>
      </c>
      <c r="B249" s="41" t="str">
        <f>IFERROR('Costing Template'!B58,"")</f>
        <v>Infeksi / Penyakit Tropis</v>
      </c>
      <c r="C249" s="41" t="str">
        <f>IFERROR(IF('Costing Template'!C58="hari_rawat","hari rawat","kunjungan"),"")</f>
        <v>kunjungan</v>
      </c>
      <c r="D249" s="33" t="str">
        <f>IFERROR('Costing Template'!S58,"")</f>
        <v/>
      </c>
      <c r="E249" s="33">
        <f t="shared" si="86"/>
        <v>0</v>
      </c>
      <c r="F249" s="33">
        <f t="shared" si="87"/>
        <v>0</v>
      </c>
      <c r="G249" s="33" t="str">
        <f t="shared" si="88"/>
        <v/>
      </c>
      <c r="H249" s="33">
        <f>IFERROR(IF(C249="hari rawat",N('Costing Template'!E58),N('Costing Template'!G58)),"")</f>
        <v>0</v>
      </c>
      <c r="I249" s="36" t="str">
        <f t="shared" si="89"/>
        <v/>
      </c>
      <c r="J249" s="41"/>
      <c r="K249" s="41"/>
      <c r="L249" s="42" t="str">
        <f t="shared" si="90"/>
        <v>-</v>
      </c>
      <c r="M249" s="33">
        <f t="shared" si="91"/>
        <v>0</v>
      </c>
      <c r="N249" s="33" t="str">
        <f t="shared" si="92"/>
        <v/>
      </c>
      <c r="O249" s="33" t="str">
        <f t="shared" si="93"/>
        <v/>
      </c>
    </row>
    <row r="250" spans="1:15" x14ac:dyDescent="0.3">
      <c r="A250" s="28">
        <v>22</v>
      </c>
      <c r="B250" s="41" t="str">
        <f>IFERROR('Costing Template'!B59,"")</f>
        <v>Hematologi dan Onkologi Medik</v>
      </c>
      <c r="C250" s="41" t="str">
        <f>IFERROR(IF('Costing Template'!C59="hari_rawat","hari rawat","kunjungan"),"")</f>
        <v>kunjungan</v>
      </c>
      <c r="D250" s="33" t="str">
        <f>IFERROR('Costing Template'!S59,"")</f>
        <v/>
      </c>
      <c r="E250" s="33">
        <f t="shared" si="86"/>
        <v>0</v>
      </c>
      <c r="F250" s="33">
        <f t="shared" si="87"/>
        <v>0</v>
      </c>
      <c r="G250" s="33" t="str">
        <f t="shared" si="88"/>
        <v/>
      </c>
      <c r="H250" s="33">
        <f>IFERROR(IF(C250="hari rawat",N('Costing Template'!E59),N('Costing Template'!G59)),"")</f>
        <v>0</v>
      </c>
      <c r="I250" s="36" t="str">
        <f t="shared" si="89"/>
        <v/>
      </c>
      <c r="J250" s="41"/>
      <c r="K250" s="41"/>
      <c r="L250" s="42" t="str">
        <f t="shared" si="90"/>
        <v>-</v>
      </c>
      <c r="M250" s="33">
        <f t="shared" si="91"/>
        <v>0</v>
      </c>
      <c r="N250" s="33" t="str">
        <f t="shared" si="92"/>
        <v/>
      </c>
      <c r="O250" s="33" t="str">
        <f t="shared" si="93"/>
        <v/>
      </c>
    </row>
    <row r="251" spans="1:15" x14ac:dyDescent="0.3">
      <c r="A251" s="28">
        <v>23</v>
      </c>
      <c r="B251" s="41" t="str">
        <f>IFERROR('Costing Template'!B60,"")</f>
        <v>Imunologi dan Reumatologi</v>
      </c>
      <c r="C251" s="41" t="str">
        <f>IFERROR(IF('Costing Template'!C60="hari_rawat","hari rawat","kunjungan"),"")</f>
        <v>kunjungan</v>
      </c>
      <c r="D251" s="33" t="str">
        <f>IFERROR('Costing Template'!S60,"")</f>
        <v/>
      </c>
      <c r="E251" s="33">
        <f t="shared" si="86"/>
        <v>0</v>
      </c>
      <c r="F251" s="33">
        <f t="shared" si="87"/>
        <v>0</v>
      </c>
      <c r="G251" s="33" t="str">
        <f t="shared" si="88"/>
        <v/>
      </c>
      <c r="H251" s="33">
        <f>IFERROR(IF(C251="hari rawat",N('Costing Template'!E60),N('Costing Template'!G60)),"")</f>
        <v>0</v>
      </c>
      <c r="I251" s="36" t="str">
        <f t="shared" si="89"/>
        <v/>
      </c>
      <c r="J251" s="41"/>
      <c r="K251" s="41"/>
      <c r="L251" s="42" t="str">
        <f t="shared" si="90"/>
        <v>-</v>
      </c>
      <c r="M251" s="33">
        <f t="shared" si="91"/>
        <v>0</v>
      </c>
      <c r="N251" s="33" t="str">
        <f t="shared" si="92"/>
        <v/>
      </c>
      <c r="O251" s="33" t="str">
        <f t="shared" si="93"/>
        <v/>
      </c>
    </row>
    <row r="252" spans="1:15" x14ac:dyDescent="0.3">
      <c r="A252" s="28">
        <v>24</v>
      </c>
      <c r="B252" s="41" t="str">
        <f>IFERROR('Costing Template'!B61,"")</f>
        <v>Keracunan (Toksikologi)</v>
      </c>
      <c r="C252" s="41" t="str">
        <f>IFERROR(IF('Costing Template'!C61="hari_rawat","hari rawat","kunjungan"),"")</f>
        <v>kunjungan</v>
      </c>
      <c r="D252" s="33" t="str">
        <f>IFERROR('Costing Template'!S61,"")</f>
        <v/>
      </c>
      <c r="E252" s="33">
        <f t="shared" si="86"/>
        <v>0</v>
      </c>
      <c r="F252" s="33">
        <f t="shared" si="87"/>
        <v>0</v>
      </c>
      <c r="G252" s="33" t="str">
        <f t="shared" si="88"/>
        <v/>
      </c>
      <c r="H252" s="33">
        <f>IFERROR(IF(C252="hari rawat",N('Costing Template'!E61),N('Costing Template'!G61)),"")</f>
        <v>0</v>
      </c>
      <c r="I252" s="36" t="str">
        <f t="shared" si="89"/>
        <v/>
      </c>
      <c r="J252" s="41"/>
      <c r="K252" s="41"/>
      <c r="L252" s="42" t="str">
        <f t="shared" si="90"/>
        <v>-</v>
      </c>
      <c r="M252" s="33">
        <f t="shared" si="91"/>
        <v>0</v>
      </c>
      <c r="N252" s="33" t="str">
        <f t="shared" si="92"/>
        <v/>
      </c>
      <c r="O252" s="33" t="str">
        <f t="shared" si="93"/>
        <v/>
      </c>
    </row>
    <row r="253" spans="1:15" x14ac:dyDescent="0.3">
      <c r="A253" s="28">
        <v>25</v>
      </c>
      <c r="B253" s="41" t="str">
        <f>IFERROR('Costing Template'!B62,"")</f>
        <v>Endokrin, Metabolik, dan Diabetes</v>
      </c>
      <c r="C253" s="41" t="str">
        <f>IFERROR(IF('Costing Template'!C62="hari_rawat","hari rawat","kunjungan"),"")</f>
        <v>kunjungan</v>
      </c>
      <c r="D253" s="33" t="str">
        <f>IFERROR('Costing Template'!S62,"")</f>
        <v/>
      </c>
      <c r="E253" s="33">
        <f t="shared" si="86"/>
        <v>0</v>
      </c>
      <c r="F253" s="33">
        <f t="shared" si="87"/>
        <v>0</v>
      </c>
      <c r="G253" s="33" t="str">
        <f t="shared" si="88"/>
        <v/>
      </c>
      <c r="H253" s="33">
        <f>IFERROR(IF(C253="hari rawat",N('Costing Template'!E62),N('Costing Template'!G62)),"")</f>
        <v>0</v>
      </c>
      <c r="I253" s="36" t="str">
        <f t="shared" si="89"/>
        <v/>
      </c>
      <c r="J253" s="41"/>
      <c r="K253" s="41"/>
      <c r="L253" s="42" t="str">
        <f t="shared" si="90"/>
        <v>-</v>
      </c>
      <c r="M253" s="33">
        <f t="shared" si="91"/>
        <v>0</v>
      </c>
      <c r="N253" s="33" t="str">
        <f t="shared" si="92"/>
        <v/>
      </c>
      <c r="O253" s="33" t="str">
        <f t="shared" si="93"/>
        <v/>
      </c>
    </row>
    <row r="254" spans="1:15" x14ac:dyDescent="0.3">
      <c r="A254" s="28">
        <v>26</v>
      </c>
      <c r="B254" s="41" t="str">
        <f>IFERROR('Costing Template'!B63,"")</f>
        <v>Luka Bakar (Burn Unit)</v>
      </c>
      <c r="C254" s="41" t="str">
        <f>IFERROR(IF('Costing Template'!C63="hari_rawat","hari rawat","kunjungan"),"")</f>
        <v>kunjungan</v>
      </c>
      <c r="D254" s="33" t="str">
        <f>IFERROR('Costing Template'!S63,"")</f>
        <v/>
      </c>
      <c r="E254" s="33">
        <f t="shared" si="86"/>
        <v>0</v>
      </c>
      <c r="F254" s="33">
        <f t="shared" si="87"/>
        <v>0</v>
      </c>
      <c r="G254" s="33" t="str">
        <f t="shared" si="88"/>
        <v/>
      </c>
      <c r="H254" s="33">
        <f>IFERROR(IF(C254="hari rawat",N('Costing Template'!E63),N('Costing Template'!G63)),"")</f>
        <v>0</v>
      </c>
      <c r="I254" s="36" t="str">
        <f t="shared" si="89"/>
        <v/>
      </c>
      <c r="J254" s="41"/>
      <c r="K254" s="41"/>
      <c r="L254" s="42" t="str">
        <f t="shared" si="90"/>
        <v>-</v>
      </c>
      <c r="M254" s="33">
        <f t="shared" si="91"/>
        <v>0</v>
      </c>
      <c r="N254" s="33" t="str">
        <f t="shared" si="92"/>
        <v/>
      </c>
      <c r="O254" s="33" t="str">
        <f t="shared" si="93"/>
        <v/>
      </c>
    </row>
    <row r="255" spans="1:15" x14ac:dyDescent="0.3">
      <c r="A255" s="28">
        <v>27</v>
      </c>
      <c r="B255" s="41" t="str">
        <f>IFERROR('Costing Template'!B64,"")</f>
        <v>Jiwa / Psikiatri</v>
      </c>
      <c r="C255" s="41" t="str">
        <f>IFERROR(IF('Costing Template'!C64="hari_rawat","hari rawat","kunjungan"),"")</f>
        <v>kunjungan</v>
      </c>
      <c r="D255" s="33" t="str">
        <f>IFERROR('Costing Template'!S64,"")</f>
        <v/>
      </c>
      <c r="E255" s="33">
        <f t="shared" si="86"/>
        <v>0</v>
      </c>
      <c r="F255" s="33">
        <f t="shared" si="87"/>
        <v>0</v>
      </c>
      <c r="G255" s="33" t="str">
        <f t="shared" si="88"/>
        <v/>
      </c>
      <c r="H255" s="33">
        <f>IFERROR(IF(C255="hari rawat",N('Costing Template'!E64),N('Costing Template'!G64)),"")</f>
        <v>0</v>
      </c>
      <c r="I255" s="36" t="str">
        <f t="shared" si="89"/>
        <v/>
      </c>
      <c r="J255" s="41"/>
      <c r="K255" s="41"/>
      <c r="L255" s="42" t="str">
        <f t="shared" si="90"/>
        <v>-</v>
      </c>
      <c r="M255" s="33">
        <f t="shared" si="91"/>
        <v>0</v>
      </c>
      <c r="N255" s="33" t="str">
        <f t="shared" si="92"/>
        <v/>
      </c>
      <c r="O255" s="33" t="str">
        <f t="shared" si="93"/>
        <v/>
      </c>
    </row>
    <row r="256" spans="1:15" x14ac:dyDescent="0.3">
      <c r="A256" s="28">
        <v>28</v>
      </c>
      <c r="B256" s="41" t="str">
        <f>IFERROR('Costing Template'!B65,"")</f>
        <v>Gigi dan Mulut</v>
      </c>
      <c r="C256" s="41" t="str">
        <f>IFERROR(IF('Costing Template'!C65="hari_rawat","hari rawat","kunjungan"),"")</f>
        <v>kunjungan</v>
      </c>
      <c r="D256" s="33" t="str">
        <f>IFERROR('Costing Template'!S65,"")</f>
        <v/>
      </c>
      <c r="E256" s="33">
        <f t="shared" si="86"/>
        <v>0</v>
      </c>
      <c r="F256" s="33">
        <f t="shared" si="87"/>
        <v>0</v>
      </c>
      <c r="G256" s="33" t="str">
        <f t="shared" si="88"/>
        <v/>
      </c>
      <c r="H256" s="33">
        <f>IFERROR(IF(C256="hari rawat",N('Costing Template'!E65),N('Costing Template'!G65)),"")</f>
        <v>0</v>
      </c>
      <c r="I256" s="36" t="str">
        <f t="shared" si="89"/>
        <v/>
      </c>
      <c r="J256" s="41"/>
      <c r="K256" s="41"/>
      <c r="L256" s="42" t="str">
        <f t="shared" si="90"/>
        <v>-</v>
      </c>
      <c r="M256" s="33">
        <f t="shared" si="91"/>
        <v>0</v>
      </c>
      <c r="N256" s="33" t="str">
        <f t="shared" si="92"/>
        <v/>
      </c>
      <c r="O256" s="33" t="str">
        <f t="shared" si="93"/>
        <v/>
      </c>
    </row>
    <row r="257" spans="1:16" x14ac:dyDescent="0.3">
      <c r="A257" s="28">
        <v>29</v>
      </c>
      <c r="B257" s="41" t="str">
        <f>IFERROR('Costing Template'!B66,"")</f>
        <v>Forensik dan Medikolegal</v>
      </c>
      <c r="C257" s="41" t="str">
        <f>IFERROR(IF('Costing Template'!C66="hari_rawat","hari rawat","kunjungan"),"")</f>
        <v>kunjungan</v>
      </c>
      <c r="D257" s="33" t="str">
        <f>IFERROR('Costing Template'!S66,"")</f>
        <v/>
      </c>
      <c r="E257" s="33">
        <f t="shared" si="86"/>
        <v>0</v>
      </c>
      <c r="F257" s="33">
        <f t="shared" si="87"/>
        <v>0</v>
      </c>
      <c r="G257" s="33" t="str">
        <f t="shared" si="88"/>
        <v/>
      </c>
      <c r="H257" s="33">
        <f>IFERROR(IF(C257="hari rawat",N('Costing Template'!E66),N('Costing Template'!G66)),"")</f>
        <v>0</v>
      </c>
      <c r="I257" s="36" t="str">
        <f t="shared" si="89"/>
        <v/>
      </c>
      <c r="J257" s="41"/>
      <c r="K257" s="41"/>
      <c r="L257" s="42" t="str">
        <f t="shared" si="90"/>
        <v>-</v>
      </c>
      <c r="M257" s="33">
        <f t="shared" si="91"/>
        <v>0</v>
      </c>
      <c r="N257" s="33" t="str">
        <f t="shared" si="92"/>
        <v/>
      </c>
      <c r="O257" s="33" t="str">
        <f t="shared" si="93"/>
        <v/>
      </c>
    </row>
    <row r="258" spans="1:16" x14ac:dyDescent="0.3">
      <c r="A258" s="28">
        <v>30</v>
      </c>
      <c r="B258" s="41" t="str">
        <f>IFERROR('Costing Template'!B67,"")</f>
        <v>Rehabilitasi Medik</v>
      </c>
      <c r="C258" s="41" t="str">
        <f>IFERROR(IF('Costing Template'!C67="hari_rawat","hari rawat","kunjungan"),"")</f>
        <v>kunjungan</v>
      </c>
      <c r="D258" s="33" t="str">
        <f>IFERROR('Costing Template'!S67,"")</f>
        <v/>
      </c>
      <c r="E258" s="33">
        <f t="shared" si="86"/>
        <v>0</v>
      </c>
      <c r="F258" s="33">
        <f t="shared" si="87"/>
        <v>0</v>
      </c>
      <c r="G258" s="33" t="str">
        <f t="shared" si="88"/>
        <v/>
      </c>
      <c r="H258" s="33">
        <f>IFERROR(IF(C258="hari rawat",N('Costing Template'!E67),N('Costing Template'!G67)),"")</f>
        <v>0</v>
      </c>
      <c r="I258" s="36" t="str">
        <f t="shared" si="89"/>
        <v/>
      </c>
      <c r="J258" s="41"/>
      <c r="K258" s="41"/>
      <c r="L258" s="42" t="str">
        <f t="shared" si="90"/>
        <v>-</v>
      </c>
      <c r="M258" s="33">
        <f t="shared" si="91"/>
        <v>0</v>
      </c>
      <c r="N258" s="33" t="str">
        <f t="shared" si="92"/>
        <v/>
      </c>
      <c r="O258" s="33" t="str">
        <f t="shared" si="93"/>
        <v/>
      </c>
    </row>
    <row r="259" spans="1:16" x14ac:dyDescent="0.3">
      <c r="A259" s="35"/>
      <c r="B259" s="35" t="s">
        <v>739</v>
      </c>
      <c r="C259" s="35"/>
      <c r="D259" s="36">
        <f>IFERROR(SUM(D229:D258),"")</f>
        <v>0</v>
      </c>
      <c r="E259" s="36">
        <f>IFERROR(SUM(E229:E258),"")</f>
        <v>0</v>
      </c>
      <c r="F259" s="36">
        <f>IFERROR(SUM(F229:F258),"")</f>
        <v>0</v>
      </c>
      <c r="G259" s="36">
        <f>IFERROR(SUM(G229:G258),"")</f>
        <v>0</v>
      </c>
      <c r="H259" s="35"/>
      <c r="I259" s="35"/>
      <c r="J259" s="35"/>
      <c r="K259" s="35"/>
      <c r="L259" s="35"/>
      <c r="M259" s="36">
        <f>IFERROR(SUM(M229:M258),"")</f>
        <v>0</v>
      </c>
      <c r="N259" s="36">
        <f>IFERROR(SUM(N229:N258),"")</f>
        <v>0</v>
      </c>
      <c r="O259" s="35"/>
    </row>
    <row r="261" spans="1:16" x14ac:dyDescent="0.3">
      <c r="A261" s="39" t="s">
        <v>776</v>
      </c>
      <c r="B261" s="39"/>
      <c r="C261" s="39"/>
      <c r="D261" s="39"/>
      <c r="E261" s="39"/>
      <c r="F261" s="39"/>
      <c r="G261" s="39"/>
      <c r="H261" s="39"/>
      <c r="I261" s="39"/>
      <c r="J261" s="39"/>
      <c r="K261" s="39"/>
      <c r="L261" s="39"/>
      <c r="M261" s="39"/>
      <c r="N261" s="39"/>
      <c r="O261" s="39"/>
      <c r="P261" s="39"/>
    </row>
    <row r="262" spans="1:16" x14ac:dyDescent="0.3">
      <c r="A262" s="40" t="s">
        <v>600</v>
      </c>
      <c r="B262" s="40" t="s">
        <v>777</v>
      </c>
      <c r="C262" s="40" t="s">
        <v>350</v>
      </c>
      <c r="D262" s="40" t="s">
        <v>207</v>
      </c>
      <c r="E262" s="40" t="s">
        <v>211</v>
      </c>
      <c r="F262" s="40" t="s">
        <v>603</v>
      </c>
      <c r="G262" s="40" t="s">
        <v>778</v>
      </c>
      <c r="H262" s="40" t="s">
        <v>779</v>
      </c>
      <c r="I262" s="40" t="s">
        <v>780</v>
      </c>
      <c r="J262" s="40" t="s">
        <v>353</v>
      </c>
      <c r="K262" s="40" t="s">
        <v>781</v>
      </c>
      <c r="L262" s="40" t="s">
        <v>782</v>
      </c>
    </row>
    <row r="263" spans="1:16" x14ac:dyDescent="0.3">
      <c r="A263" s="28">
        <v>1</v>
      </c>
      <c r="B263" s="41" t="str">
        <f>IFERROR('Costing Template'!B38,"")</f>
        <v>Kamar Rawat Inap Standar (KRIS) C</v>
      </c>
      <c r="C263" s="33">
        <f>IFERROR('Data Operasional'!J2,"")</f>
        <v>0</v>
      </c>
      <c r="D263" s="44" t="str">
        <f>IFERROR('Data Operasional'!P2,"")</f>
        <v/>
      </c>
      <c r="E263" s="38" t="str">
        <f>IFERROR('Data Operasional'!O2,"")</f>
        <v/>
      </c>
      <c r="F263" s="33">
        <f>IFERROR('Costing Template'!D38,"")</f>
        <v>0</v>
      </c>
      <c r="G263" s="38" t="str">
        <f>IFERROR(F263/C263,"")</f>
        <v/>
      </c>
      <c r="H263" s="45">
        <v>0.2</v>
      </c>
      <c r="I263" s="45">
        <v>0.5</v>
      </c>
      <c r="J263" s="42" t="str">
        <f>IFERROR(IF(D263="","",IF(AND(D263&gt;=40,D263&lt;=90),"OK","CEK")),"")</f>
        <v/>
      </c>
      <c r="K263" s="42" t="str">
        <f>IFERROR(IF(E263="","",IF(AND(E263&gt;=3,E263&lt;=7),"OK","CEK")),"")</f>
        <v/>
      </c>
      <c r="L263" s="42" t="str">
        <f>IFERROR(IF(G263="","",IF(AND(G263&gt;=H263,G263&lt;=I263),"OK","CEK")),"")</f>
        <v/>
      </c>
    </row>
    <row r="264" spans="1:16" x14ac:dyDescent="0.3">
      <c r="A264" s="28">
        <v>2</v>
      </c>
      <c r="B264" s="41" t="str">
        <f>IFERROR('Costing Template'!B39,"")</f>
        <v>Kamar Rawat Inap Standar (KRIS) B</v>
      </c>
      <c r="C264" s="33">
        <f>IFERROR('Data Operasional'!J3,"")</f>
        <v>0</v>
      </c>
      <c r="D264" s="44" t="str">
        <f>IFERROR('Data Operasional'!P3,"")</f>
        <v/>
      </c>
      <c r="E264" s="38" t="str">
        <f>IFERROR('Data Operasional'!O3,"")</f>
        <v/>
      </c>
      <c r="F264" s="33">
        <f>IFERROR('Costing Template'!D39,"")</f>
        <v>0</v>
      </c>
      <c r="G264" s="38" t="str">
        <f>IFERROR(F264/C264,"")</f>
        <v/>
      </c>
      <c r="H264" s="45">
        <v>0.3</v>
      </c>
      <c r="I264" s="45">
        <v>0.6</v>
      </c>
      <c r="J264" s="42" t="str">
        <f>IFERROR(IF(D264="","",IF(AND(D264&gt;=40,D264&lt;=90),"OK","CEK")),"")</f>
        <v/>
      </c>
      <c r="K264" s="42" t="str">
        <f>IFERROR(IF(E264="","",IF(AND(E264&gt;=3,E264&lt;=7),"OK","CEK")),"")</f>
        <v/>
      </c>
      <c r="L264" s="42" t="str">
        <f>IFERROR(IF(G264="","",IF(AND(G264&gt;=H264,G264&lt;=I264),"OK","CEK")),"")</f>
        <v/>
      </c>
    </row>
    <row r="265" spans="1:16" x14ac:dyDescent="0.3">
      <c r="A265" s="28">
        <v>3</v>
      </c>
      <c r="B265" s="41" t="str">
        <f>IFERROR('Costing Template'!B40,"")</f>
        <v>Kamar Rawat Inap Standar (KRIS) A</v>
      </c>
      <c r="C265" s="33">
        <f>IFERROR('Data Operasional'!J4,"")</f>
        <v>0</v>
      </c>
      <c r="D265" s="44" t="str">
        <f>IFERROR('Data Operasional'!P4,"")</f>
        <v/>
      </c>
      <c r="E265" s="38" t="str">
        <f>IFERROR('Data Operasional'!O4,"")</f>
        <v/>
      </c>
      <c r="F265" s="33">
        <f>IFERROR('Costing Template'!D40,"")</f>
        <v>0</v>
      </c>
      <c r="G265" s="38" t="str">
        <f>IFERROR(F265/C265,"")</f>
        <v/>
      </c>
      <c r="H265" s="45">
        <v>0.4</v>
      </c>
      <c r="I265" s="45">
        <v>0.8</v>
      </c>
      <c r="J265" s="42" t="str">
        <f>IFERROR(IF(D265="","",IF(AND(D265&gt;=40,D265&lt;=90),"OK","CEK")),"")</f>
        <v/>
      </c>
      <c r="K265" s="42" t="str">
        <f>IFERROR(IF(E265="","",IF(AND(E265&gt;=3,E265&lt;=7),"OK","CEK")),"")</f>
        <v/>
      </c>
      <c r="L265" s="42" t="str">
        <f>IFERROR(IF(G265="","",IF(AND(G265&gt;=H265,G265&lt;=I265),"OK","CEK")),"")</f>
        <v/>
      </c>
    </row>
    <row r="266" spans="1:16" x14ac:dyDescent="0.3">
      <c r="A266" s="28">
        <v>4</v>
      </c>
      <c r="B266" s="41" t="str">
        <f>IFERROR('Costing Template'!B41,"")</f>
        <v>Kamar VIP/VVIP/Suite</v>
      </c>
      <c r="C266" s="33">
        <f>IFERROR('Data Operasional'!J5,"")</f>
        <v>0</v>
      </c>
      <c r="D266" s="44" t="str">
        <f>IFERROR('Data Operasional'!P5,"")</f>
        <v/>
      </c>
      <c r="E266" s="38" t="str">
        <f>IFERROR('Data Operasional'!O5,"")</f>
        <v/>
      </c>
      <c r="F266" s="33">
        <f>IFERROR('Costing Template'!D41,"")</f>
        <v>0</v>
      </c>
      <c r="G266" s="38" t="str">
        <f>IFERROR(F266/C266,"")</f>
        <v/>
      </c>
      <c r="H266" s="45">
        <v>0.3</v>
      </c>
      <c r="I266" s="45">
        <v>0.7</v>
      </c>
      <c r="J266" s="42" t="str">
        <f>IFERROR(IF(D266="","",IF(AND(D266&gt;=40,D266&lt;=90),"OK","CEK")),"")</f>
        <v/>
      </c>
      <c r="K266" s="42" t="str">
        <f>IFERROR(IF(E266="","",IF(AND(E266&gt;=3,E266&lt;=7),"OK","CEK")),"")</f>
        <v/>
      </c>
      <c r="L266" s="42" t="str">
        <f>IFERROR(IF(G266="","",IF(AND(G266&gt;=H266,G266&lt;=I266),"OK","CEK")),"")</f>
        <v/>
      </c>
    </row>
    <row r="267" spans="1:16" x14ac:dyDescent="0.3">
      <c r="A267" s="28">
        <v>5</v>
      </c>
      <c r="B267" s="41" t="str">
        <f>IFERROR('Costing Template'!B42,"")</f>
        <v>Kamar ICU/ICCU/NICU/PICU/HCU</v>
      </c>
      <c r="C267" s="33">
        <f>IFERROR('Data Operasional'!J6,"")</f>
        <v>0</v>
      </c>
      <c r="D267" s="44" t="str">
        <f>IFERROR('Data Operasional'!P6,"")</f>
        <v/>
      </c>
      <c r="E267" s="38" t="str">
        <f>IFERROR('Data Operasional'!O6,"")</f>
        <v/>
      </c>
      <c r="F267" s="33">
        <f>IFERROR('Costing Template'!D42,"")</f>
        <v>0</v>
      </c>
      <c r="G267" s="38" t="str">
        <f>IFERROR(F267/C267,"")</f>
        <v/>
      </c>
      <c r="H267" s="45">
        <v>1.2</v>
      </c>
      <c r="I267" s="45">
        <v>2</v>
      </c>
      <c r="J267" s="42" t="str">
        <f>IFERROR(IF(D267="","",IF(AND(D267&gt;=40,D267&lt;=90),"OK","CEK")),"")</f>
        <v/>
      </c>
      <c r="K267" s="42" t="str">
        <f>IFERROR(IF(E267="","",IF(AND(E267&gt;=3,E267&lt;=7),"OK","CEK")),"")</f>
        <v/>
      </c>
      <c r="L267" s="42" t="str">
        <f>IFERROR(IF(G267="","",IF(AND(G267&gt;=H267,G267&lt;=I267),"OK","CEK")),"")</f>
        <v/>
      </c>
    </row>
    <row r="269" spans="1:16" x14ac:dyDescent="0.3">
      <c r="A269" s="40" t="s">
        <v>600</v>
      </c>
      <c r="B269" s="40" t="s">
        <v>783</v>
      </c>
      <c r="C269" s="40" t="s">
        <v>784</v>
      </c>
      <c r="D269" s="40" t="s">
        <v>785</v>
      </c>
      <c r="E269" s="40" t="s">
        <v>603</v>
      </c>
      <c r="F269" s="40" t="s">
        <v>786</v>
      </c>
      <c r="G269" s="40" t="s">
        <v>779</v>
      </c>
      <c r="H269" s="40" t="s">
        <v>780</v>
      </c>
      <c r="I269" s="40" t="s">
        <v>587</v>
      </c>
    </row>
    <row r="270" spans="1:16" x14ac:dyDescent="0.3">
      <c r="A270" s="28">
        <v>1</v>
      </c>
      <c r="B270" s="41" t="str">
        <f>IFERROR('Costing Template'!B43,"")</f>
        <v>Instalasi Gawat Darurat (IGD)</v>
      </c>
      <c r="C270" s="33" t="str">
        <f>IFERROR('Data Operasional'!F7,"")</f>
        <v/>
      </c>
      <c r="D270" s="33" t="str">
        <f>IFERROR(C270/365,"")</f>
        <v/>
      </c>
      <c r="E270" s="33">
        <f>IFERROR('Costing Template'!D43,"")</f>
        <v>0</v>
      </c>
      <c r="F270" s="44" t="str">
        <f>IFERROR(E270/D270*10,"")</f>
        <v/>
      </c>
      <c r="G270" s="45">
        <v>5</v>
      </c>
      <c r="H270" s="45">
        <v>15</v>
      </c>
      <c r="I270" s="42" t="str">
        <f>IFERROR(IF(F270="","",IF(AND(F270&gt;=G270,F270&lt;=H270),"OK","CEK")),"")</f>
        <v/>
      </c>
    </row>
    <row r="272" spans="1:16" x14ac:dyDescent="0.3">
      <c r="A272" s="39" t="s">
        <v>787</v>
      </c>
      <c r="B272" s="39"/>
      <c r="C272" s="39"/>
      <c r="D272" s="39"/>
      <c r="E272" s="39"/>
      <c r="F272" s="39"/>
      <c r="G272" s="39"/>
      <c r="H272" s="39"/>
      <c r="I272" s="39"/>
      <c r="J272" s="39"/>
      <c r="K272" s="39"/>
      <c r="L272" s="39"/>
      <c r="M272" s="39"/>
      <c r="N272" s="39"/>
      <c r="O272" s="39"/>
      <c r="P272" s="39"/>
    </row>
    <row r="273" spans="1:6" x14ac:dyDescent="0.3">
      <c r="A273" s="40" t="s">
        <v>600</v>
      </c>
      <c r="B273" s="40" t="s">
        <v>788</v>
      </c>
      <c r="C273" s="40" t="s">
        <v>789</v>
      </c>
      <c r="D273" s="40" t="s">
        <v>790</v>
      </c>
      <c r="E273" s="40" t="s">
        <v>791</v>
      </c>
      <c r="F273" s="40" t="s">
        <v>587</v>
      </c>
    </row>
    <row r="274" spans="1:6" x14ac:dyDescent="0.3">
      <c r="A274" s="28">
        <v>1</v>
      </c>
      <c r="B274" s="28" t="s">
        <v>578</v>
      </c>
      <c r="C274" s="33">
        <f>IFERROR('Costing Template'!J69,"")</f>
        <v>0</v>
      </c>
      <c r="D274" s="33">
        <f>IFERROR('Data LO Lapkeu'!B27,"")</f>
        <v>0</v>
      </c>
      <c r="E274" s="33">
        <f t="shared" ref="E274:E281" si="94">IFERROR(ROUND(C274-D274,0),"")</f>
        <v>0</v>
      </c>
      <c r="F274" s="42" t="str">
        <f t="shared" ref="F274:F281" si="95">IFERROR(IF(D274=0,"Belum diisi",IF(ABS(E274)&lt;=1000,"BALANCE","CEK")),"")</f>
        <v>Belum diisi</v>
      </c>
    </row>
    <row r="275" spans="1:6" x14ac:dyDescent="0.3">
      <c r="A275" s="28">
        <v>2</v>
      </c>
      <c r="B275" s="28" t="s">
        <v>581</v>
      </c>
      <c r="C275" s="33">
        <f>IFERROR('Costing Template'!K69,"")</f>
        <v>0</v>
      </c>
      <c r="D275" s="33">
        <f>IFERROR('Data LO Lapkeu'!B28,"")</f>
        <v>0</v>
      </c>
      <c r="E275" s="33">
        <f t="shared" si="94"/>
        <v>0</v>
      </c>
      <c r="F275" s="42" t="str">
        <f t="shared" si="95"/>
        <v>Belum diisi</v>
      </c>
    </row>
    <row r="276" spans="1:6" x14ac:dyDescent="0.3">
      <c r="A276" s="28">
        <v>3</v>
      </c>
      <c r="B276" s="28" t="s">
        <v>582</v>
      </c>
      <c r="C276" s="33">
        <f>IFERROR('Costing Template'!L69,"")</f>
        <v>0</v>
      </c>
      <c r="D276" s="33">
        <f>IFERROR('Data LO Lapkeu'!B29,"")</f>
        <v>0</v>
      </c>
      <c r="E276" s="33">
        <f t="shared" si="94"/>
        <v>0</v>
      </c>
      <c r="F276" s="42" t="str">
        <f t="shared" si="95"/>
        <v>Belum diisi</v>
      </c>
    </row>
    <row r="277" spans="1:6" x14ac:dyDescent="0.3">
      <c r="A277" s="28">
        <v>4</v>
      </c>
      <c r="B277" s="28" t="s">
        <v>583</v>
      </c>
      <c r="C277" s="33">
        <f>IFERROR('Costing Template'!M69,"")</f>
        <v>0</v>
      </c>
      <c r="D277" s="33">
        <f>IFERROR('Data LO Lapkeu'!B30,"")</f>
        <v>0</v>
      </c>
      <c r="E277" s="33">
        <f t="shared" si="94"/>
        <v>0</v>
      </c>
      <c r="F277" s="42" t="str">
        <f t="shared" si="95"/>
        <v>Belum diisi</v>
      </c>
    </row>
    <row r="278" spans="1:6" x14ac:dyDescent="0.3">
      <c r="A278" s="28">
        <v>5</v>
      </c>
      <c r="B278" s="28" t="s">
        <v>102</v>
      </c>
      <c r="C278" s="33">
        <f>IFERROR('Costing Template'!P69+'Costing Template'!Q69,"")</f>
        <v>0</v>
      </c>
      <c r="D278" s="33">
        <f>IFERROR('Data LO Lapkeu'!B31+'Data LO Lapkeu'!B32,"")</f>
        <v>0</v>
      </c>
      <c r="E278" s="33">
        <f t="shared" si="94"/>
        <v>0</v>
      </c>
      <c r="F278" s="42" t="str">
        <f t="shared" si="95"/>
        <v>Belum diisi</v>
      </c>
    </row>
    <row r="279" spans="1:6" x14ac:dyDescent="0.3">
      <c r="A279" s="28">
        <v>6</v>
      </c>
      <c r="B279" s="30" t="s">
        <v>792</v>
      </c>
      <c r="C279" s="33">
        <f>IFERROR('Costing Template'!S69,"")</f>
        <v>0</v>
      </c>
      <c r="D279" s="33">
        <f>IFERROR('Data LO Lapkeu'!B18,"")</f>
        <v>0</v>
      </c>
      <c r="E279" s="33">
        <f t="shared" si="94"/>
        <v>0</v>
      </c>
      <c r="F279" s="42" t="str">
        <f t="shared" si="95"/>
        <v>Belum diisi</v>
      </c>
    </row>
    <row r="280" spans="1:6" x14ac:dyDescent="0.3">
      <c r="A280" s="28">
        <v>7</v>
      </c>
      <c r="B280" s="28" t="s">
        <v>793</v>
      </c>
      <c r="C280" s="33">
        <f>IFERROR(N259,"")</f>
        <v>0</v>
      </c>
      <c r="D280" s="33">
        <f>IFERROR('Data LO Lapkeu'!B18,"")</f>
        <v>0</v>
      </c>
      <c r="E280" s="33">
        <f t="shared" si="94"/>
        <v>0</v>
      </c>
      <c r="F280" s="42" t="str">
        <f t="shared" si="95"/>
        <v>Belum diisi</v>
      </c>
    </row>
    <row r="281" spans="1:6" x14ac:dyDescent="0.3">
      <c r="A281" s="28">
        <v>8</v>
      </c>
      <c r="B281" s="28" t="s">
        <v>794</v>
      </c>
      <c r="C281" s="33">
        <f>IFERROR(O134,"")</f>
        <v>0</v>
      </c>
      <c r="D281" s="33">
        <f>IFERROR(D38,"")</f>
        <v>0</v>
      </c>
      <c r="E281" s="33">
        <f t="shared" si="94"/>
        <v>0</v>
      </c>
      <c r="F281" s="42" t="str">
        <f t="shared" si="95"/>
        <v>Belum diisi</v>
      </c>
    </row>
    <row r="283" spans="1:6" x14ac:dyDescent="0.3">
      <c r="B283" s="35" t="s">
        <v>795</v>
      </c>
      <c r="C283" s="35" t="str">
        <f>IFERROR(IF('Data LO Lapkeu'!B18=0,"Belum diisi",IF(AND(COUNTIF(F274:F281,"CEK")=0,COUNTIF(L229:L258,"CEK")=0,COUNTIF(J263:L267,"CEK")=0,COUNTIF(I270,"CEK")=0),"SEMUA OK","ADA CEK")),"")</f>
        <v>Belum diisi</v>
      </c>
    </row>
  </sheetData>
  <sheetProtection sheet="1" formatCells="0" formatColumns="0" formatRows="0"/>
  <dataValidations count="5">
    <dataValidation type="list" allowBlank="1" showInputMessage="1" showErrorMessage="1" errorTitle="Flag tidak valid" error="Isi 1 (penunjang umum) atau 0 (penunjang klinis)." promptTitle="Flag penunjang" prompt="1 = penunjang umum, biayanya dibagi ke semua layanan rawat inap. 0 = penunjang klinis, dibagi sesuai bobot pemakaian bagian 6." sqref="F140:F151" xr:uid="{00000000-0002-0000-0500-000000000000}">
      <formula1>"0,1"</formula1>
      <formula2>0</formula2>
    </dataValidation>
    <dataValidation type="decimal" operator="greaterThanOrEqual" allowBlank="1" showInputMessage="1" showErrorMessage="1" errorTitle="Bobot tidak valid" error="Isi angka 0 atau lebih. Kosongkan bila layanan tidak memakai penunjang ini." promptTitle="Bobot pemakaian" prompt="Jumlah pemakaian penunjang ini oleh layanan (contoh: jumlah resep, tes, atau jam operasi). Kosongkan bila tidak memakai. Angka ≥ 0." sqref="C159:H188 K159:N188" xr:uid="{00000000-0002-0000-0500-000001000000}">
      <formula1>0</formula1>
      <formula2>0</formula2>
    </dataValidation>
    <dataValidation type="decimal" operator="greaterThanOrEqual" allowBlank="1" showInputMessage="1" showErrorMessage="1" errorTitle="Target tidak valid" error="Isi angka Rupiah 0 atau lebih, atau kosongkan." promptTitle="Target unit cost (Rp)" prompt="Opsional. Batas bawah (Min) dan atas (Max) unit cost yang diharapkan, Rupiah per hari rawat. Kosongkan bila tidak ada." sqref="J229:K232" xr:uid="{00000000-0002-0000-0500-000002000000}">
      <formula1>0</formula1>
      <formula2>0</formula2>
    </dataValidation>
    <dataValidation type="decimal" operator="greaterThanOrEqual" allowBlank="1" showInputMessage="1" showErrorMessage="1" errorTitle="Batas tidak valid" error="Isi angka 0 atau lebih." promptTitle="Batas staf per tempat tidur" prompt="Batas wajar jumlah staf per tempat tidur. Min harus lebih kecil dari Max." sqref="H263:I267" xr:uid="{00000000-0002-0000-0500-000003000000}">
      <formula1>0</formula1>
      <formula2>0</formula2>
    </dataValidation>
    <dataValidation type="decimal" operator="greaterThanOrEqual" allowBlank="1" showInputMessage="1" showErrorMessage="1" errorTitle="Batas tidak valid" error="Isi angka 0 atau lebih." promptTitle="Batas staf IGD" prompt="Batas wajar staf per 10 kunjungan IGD per hari. Min harus lebih kecil dari Max." sqref="G270:H270" xr:uid="{00000000-0002-0000-0500-000004000000}">
      <formula1>0</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Lembar kerja</vt:lpstr>
      </vt:variant>
      <vt:variant>
        <vt:i4>6</vt:i4>
      </vt:variant>
    </vt:vector>
  </HeadingPairs>
  <TitlesOfParts>
    <vt:vector size="6" baseType="lpstr">
      <vt:lpstr>Panduan Pengisian</vt:lpstr>
      <vt:lpstr>Data Dasar RS</vt:lpstr>
      <vt:lpstr>Data Operasional</vt:lpstr>
      <vt:lpstr>Data LO Lapkeu</vt:lpstr>
      <vt:lpstr>Costing Template</vt:lpstr>
      <vt:lpstr>Rumus Perhitungan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pusatjkn17</cp:lastModifiedBy>
  <cp:revision>0</cp:revision>
  <dcterms:created xsi:type="dcterms:W3CDTF">2026-10-15T03:20:22Z</dcterms:created>
  <dcterms:modified xsi:type="dcterms:W3CDTF">2026-10-15T03:43:51Z</dcterms:modified>
  <dc:language>en-US</dc:language>
</cp:coreProperties>
</file>