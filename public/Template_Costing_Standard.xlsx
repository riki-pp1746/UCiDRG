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d101f18c2e45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nduan Pengisian" sheetId="1" r:id="R24142393aff049e4"/>
    <x:sheet xmlns:r="http://schemas.openxmlformats.org/officeDocument/2006/relationships" name="Data Dasar RS" sheetId="2" r:id="R37676127dfea43e7"/>
    <x:sheet xmlns:r="http://schemas.openxmlformats.org/officeDocument/2006/relationships" name="Data Operasional" sheetId="3" r:id="R0746fb3f9e454500"/>
    <x:sheet xmlns:r="http://schemas.openxmlformats.org/officeDocument/2006/relationships" name="Data LO Lapkeu" sheetId="4" r:id="R36b232c4bdd54dcf"/>
    <x:sheet xmlns:r="http://schemas.openxmlformats.org/officeDocument/2006/relationships" name="Costing Template" sheetId="5" r:id="R450e4f8fb8254859"/>
    <x:sheet xmlns:r="http://schemas.openxmlformats.org/officeDocument/2006/relationships" name="Rumus Perhitungan" sheetId="6" r:id="R9385022449ed431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"/>
    <x:numFmt numFmtId="201" formatCode="#,##0"/>
    <x:numFmt numFmtId="202" formatCode="#,##0;(#,##0);&quot;-&quot;"/>
    <x:numFmt numFmtId="203" formatCode="#,##0.00"/>
  </x:numFmts>
  <x:fonts count="5">
    <x:font>
      <x:sz val="11"/>
      <x:name val="Carlito"/>
    </x:font>
    <x:font>
      <x:sz val="11"/>
      <x:name val="Arial"/>
    </x:font>
    <x:font>
      <x:sz val="11"/>
      <x:color rgb="FFFFFFFF"/>
      <x:name val="Arial"/>
    </x:font>
    <x:font>
      <x:b/>
      <x:sz val="11"/>
      <x:color rgb="FFFFFFFF"/>
      <x:name val="Arial"/>
    </x:font>
    <x:font>
      <x:sz val="11"/>
      <x:color rgb="FF1D4ED8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0B1F3A"/>
      </x:patternFill>
    </x:fill>
    <x:fill>
      <x:patternFill patternType="solid">
        <x:fgColor rgb="FFFFF7D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  <x:xf numFmtId="202" fontId="1" fillId="2" borderId="0" xfId="0" applyNumberFormat="1" applyFont="1" applyFill="1" applyBorder="1" applyAlignment="1">
      <x:alignment vertical="center" wrapText="1"/>
    </x:xf>
    <x:xf numFmtId="202" fontId="2" fillId="2" borderId="0" xfId="0" applyNumberFormat="1" applyFont="1" applyFill="1" applyBorder="1" applyAlignment="1">
      <x:alignment vertical="center" wrapText="1"/>
    </x:xf>
    <x:xf numFmtId="202" fontId="3" fillId="2" borderId="0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 wrapText="1"/>
    </x:xf>
    <x:xf numFmtId="201" fontId="2" fillId="2" borderId="0" xfId="0" applyNumberFormat="1" applyFont="1" applyFill="1" applyBorder="1" applyAlignment="1">
      <x:alignment vertical="center" wrapText="1"/>
    </x:xf>
    <x:xf numFmtId="201" fontId="3" fillId="2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201" fontId="4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b8cfa1a99047e9" /><Relationship Type="http://schemas.openxmlformats.org/officeDocument/2006/relationships/theme" Target="/xl/theme/theme1.xml" Id="Rb1471c7a341d4b0d" /><Relationship Type="http://schemas.openxmlformats.org/officeDocument/2006/relationships/sharedStrings" Target="/xl/sharedStrings.xml" Id="Rb423260202794526" /><Relationship Type="http://schemas.openxmlformats.org/officeDocument/2006/relationships/worksheet" Target="/xl/worksheets/sheet1.xml" Id="R24142393aff049e4" /><Relationship Type="http://schemas.openxmlformats.org/officeDocument/2006/relationships/worksheet" Target="/xl/worksheets/sheet2.xml" Id="R37676127dfea43e7" /><Relationship Type="http://schemas.openxmlformats.org/officeDocument/2006/relationships/worksheet" Target="/xl/worksheets/sheet3.xml" Id="R0746fb3f9e454500" /><Relationship Type="http://schemas.openxmlformats.org/officeDocument/2006/relationships/worksheet" Target="/xl/worksheets/sheet4.xml" Id="R36b232c4bdd54dcf" /><Relationship Type="http://schemas.openxmlformats.org/officeDocument/2006/relationships/worksheet" Target="/xl/worksheets/sheet5.xml" Id="R450e4f8fb8254859" /><Relationship Type="http://schemas.openxmlformats.org/officeDocument/2006/relationships/worksheet" Target="/xl/worksheets/sheet6.xml" Id="R9385022449ed431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9" hidden="0" customWidth="1"/>
    <x:col min="2" max="2" width="105" hidden="0" customWidth="1"/>
  </x:cols>
  <x:sheetData>
    <x:row r="1" ht="34" customHeight="1">
      <x:c r="A1" s="6" t="str">
        <x:v>PANDUAN SIMULASI COSTING</x:v>
      </x:c>
      <x:c r="B1" s="6" t="str">
        <x:v>RS SIMULASI ABC</x:v>
      </x:c>
    </x:row>
    <x:row r="2" ht="62" customHeight="1">
      <x:c r="A2" s="3" t="str">
        <x:v>1. Kenali file</x:v>
      </x:c>
      <x:c r="B2" s="3" t="str">
        <x:v>Semua angka dan identitas merupakan dummy. Gunakan untuk latihan aplikasi, bukan laporan RS aktual.</x:v>
      </x:c>
    </x:row>
    <x:row r="3" ht="62" customHeight="1">
      <x:c r="A3" s="3" t="str">
        <x:v>2. Lihat profil RS</x:v>
      </x:c>
      <x:c r="B3" s="3" t="str">
        <x:v>Buka Data Dasar RS: kelas B, 300 tempat tidur, tahun 2025 dan 900 staf.</x:v>
      </x:c>
    </x:row>
    <x:row r="4" ht="62" customHeight="1">
      <x:c r="A4" s="3" t="str">
        <x:v>3. Periksa statistik</x:v>
      </x:c>
      <x:c r="B4" s="3" t="str">
        <x:v>Buka Data Operasional. Lima kelas rawat inap memakai BOR 70–80%. ALOS dihitung dari hari rawat dibagi pasien pulang.</x:v>
      </x:c>
    </x:row>
    <x:row r="5" ht="62" customHeight="1">
      <x:c r="A5" s="3" t="str">
        <x:v>4. Periksa IGD</x:v>
      </x:c>
      <x:c r="B5" s="3" t="str">
        <x:v>IGD memiliki 42.000 kunjungan/tahun, pembagian JKN dan Non-JKN, staf, luas dan biaya lengkap.</x:v>
      </x:c>
    </x:row>
    <x:row r="6" ht="62" customHeight="1">
      <x:c r="A6" s="3" t="str">
        <x:v>5. Kenali 54 unit</x:v>
      </x:c>
      <x:c r="B6" s="3" t="str">
        <x:v>Costing memuat 12 Overhead, 12 Intermediate, dan 30 Final (lima unit inap, IGD, serta 24 layanan).</x:v>
      </x:c>
    </x:row>
    <x:row r="7" ht="62" customHeight="1">
      <x:c r="A7" s="3" t="str">
        <x:v>6. Baca volume penunjang</x:v>
      </x:c>
      <x:c r="B7" s="3" t="str">
        <x:v>Satuan berbeda per unit: resep, tes, terapi, jam operasi dan lainnya. Jangan menjumlahkan seluruh satuan menjadi jumlah pasien.</x:v>
      </x:c>
    </x:row>
    <x:row r="8" ht="62" customHeight="1">
      <x:c r="A8" s="3" t="str">
        <x:v>7. Hindari double counting</x:v>
      </x:c>
      <x:c r="B8" s="3" t="str">
        <x:v>24 layanan klinis dibuat sebagai layanan jalan. Tempat tidur dan hari rawat hanya tercatat pada lima unit inap.</x:v>
      </x:c>
    </x:row>
    <x:row r="9" ht="62" customHeight="1">
      <x:c r="A9" s="3" t="str">
        <x:v>8. Lihat biaya unit</x:v>
      </x:c>
      <x:c r="B9" s="3" t="str">
        <x:v>Costing Template berisi gaji, jasa dokter, jasa lainnya, operasional dan nilai aset; depresiasi ditambahkan satu kali.</x:v>
      </x:c>
    </x:row>
    <x:row r="10" ht="62" customHeight="1">
      <x:c r="A10" s="3" t="str">
        <x:v>9. Lihat asumsi aset</x:v>
      </x:c>
      <x:c r="B10" s="3" t="str">
        <x:v>Nilai alat = penyusutan tahunan × 5. Nilai gedung = penyusutan tahunan × 40. Nilai tersebut adalah aset dummy.</x:v>
      </x:c>
    </x:row>
    <x:row r="11" ht="62" customHeight="1">
      <x:c r="A11" s="3" t="str">
        <x:v>10. Baca rumus alokasi</x:v>
      </x:c>
      <x:c r="B11" s="3" t="str">
        <x:v>Overhead dialokasikan ke Intermediate dan Final menurut staf. Intermediate beserta bagiannya kemudian dialokasikan ke Final menurut staf.</x:v>
      </x:c>
    </x:row>
    <x:row r="12" ht="62" customHeight="1">
      <x:c r="A12" s="3" t="str">
        <x:v>11. Periksa target</x:v>
      </x:c>
      <x:c r="B12" s="3" t="str">
        <x:v>Rumus Perhitungan menampilkan UC setelah alokasi: KRIS C 385 ribu, B 455 ribu, A 605 ribu, VIP 850 ribu per hari.</x:v>
      </x:c>
    </x:row>
    <x:row r="13" ht="62" customHeight="1">
      <x:c r="A13" s="3" t="str">
        <x:v>12. Mengubah simulasi</x:v>
      </x:c>
      <x:c r="B13" s="3" t="str">
        <x:v>Ubah target UC pada kolom C Rumus Perhitungan atau volume Data Operasional. Biaya langsung otomatis dikalibrasi ulang. Hindari target yang membuat biaya langsung negatif.</x:v>
      </x:c>
    </x:row>
    <x:row r="14" ht="62" customHeight="1">
      <x:c r="A14" s="3" t="str">
        <x:v>13. Cek LO</x:v>
      </x:c>
      <x:c r="B14" s="3" t="str">
        <x:v>Total beban harus sama dengan total costing. Surplus = pendapatan − beban. Dua rekonsiliasi pada Data LO Lapkeu harus nol.</x:v>
      </x:c>
    </x:row>
    <x:row r="15" ht="62" customHeight="1">
      <x:c r="A15" s="3" t="str">
        <x:v>14. Cek staf dan alokasi</x:v>
      </x:c>
      <x:c r="B15" s="3" t="str">
        <x:v>Total staf harus 900. Selisih alokasi pada Rumus Perhitungan!B46 harus mendekati nol (toleransi Rp1).</x:v>
      </x:c>
    </x:row>
    <x:row r="16" ht="62" customHeight="1">
      <x:c r="A16" s="3" t="str">
        <x:v>15. Unggah ke aplikasi</x:v>
      </x:c>
      <x:c r="B16" s="3" t="str">
        <x:v>Pilih file Excel ini pada menu impor costing. Struktur 19 kolom dan judul kelompok A/B/C dipertahankan.</x:v>
      </x:c>
    </x:row>
    <x:row r="17" ht="62" customHeight="1">
      <x:c r="A17" s="3" t="str">
        <x:v>16. Periksa hasil impor</x:v>
      </x:c>
      <x:c r="B17" s="3" t="str">
        <x:v>Pastikan jumlah unit 12 + 12 + 30, tahun 2025, total staf 900, tempat tidur 300 dan hari rawat 86.505.</x:v>
      </x:c>
    </x:row>
    <x:row r="18" ht="62" customHeight="1">
      <x:c r="A18" s="3" t="str">
        <x:v>17. Bedakan hasil aplikasi</x:v>
      </x:c>
      <x:c r="B18" s="3" t="str">
        <x:v>Tampilan biaya unit aplikasi memakai biaya langsung. Target setelah alokasi pada workbook tidak otomatis sama dengan hasil distribusi 18 komponen/klaim.</x:v>
      </x:c>
    </x:row>
    <x:row r="19" ht="62" customHeight="1">
      <x:c r="A19" s="3" t="str">
        <x:v>18. Lanjut ke klaim</x:v>
      </x:c>
      <x:c r="B19" s="3" t="str">
        <x:v>Gunakan klaim dummy dengan periode dan layanan yang cocok, lalu konfirmasi pemetaan dan driver. Workbook saja tidak membuktikan seluruh warning klaim hilang.</x:v>
      </x:c>
    </x:row>
    <x:row r="20" ht="62" customHeight="1">
      <x:c r="A20" s="3" t="str">
        <x:v>19. Simpan latihan</x:v>
      </x:c>
      <x:c r="B20" s="3" t="str">
        <x:v>Unduh cadangan hasil sebelum menutup sesi aplikasi. File ini tidak berisi nama RS aktual, kontak, identitas pasien, nama staf atau dokumen internal.</x:v>
      </x:c>
    </x:row>
    <x:row r="21" ht="62" customHeight="1">
      <x:c r="A21" s="3" t="str">
        <x:v>Asumsi SDM</x:v>
      </x:c>
      <x:c r="B21" s="3" t="str">
        <x:v>120 dokter, 600 nakes selain dokter dan 180 non-nakes. Pembagian unit mengikuti volume, kapasitas dan intensitas dummy; tidak diklaim sebagai standar ketenagaan klinis.</x:v>
      </x:c>
    </x:row>
    <x:row r="22" ht="62" customHeight="1">
      <x:c r="A22" s="3" t="str">
        <x:v>Asumsi biaya</x:v>
      </x:c>
      <x:c r="B22" s="3" t="str">
        <x:v>Penghitungan target adalah kalibrasi dummy. Komposisi dan tarif bukan standar resmi, serta tidak memakai nilai keuangan RS sumber.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8" hidden="0" customWidth="1"/>
    <x:col min="2" max="2" width="35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1" ht="34" customHeight="1">
      <x:c r="A1" s="6" t="str">
        <x:v>DATA DASAR RS SIMULASI</x:v>
      </x:c>
      <x:c r="B1" s="6" t="str">
        <x:v>NILAI</x:v>
      </x:c>
      <x:c r="C1" s="3"/>
      <x:c r="D1" s="3"/>
      <x:c r="E1" s="3"/>
      <x:c r="F1" s="3"/>
    </x:row>
    <x:row r="2" ht="34" customHeight="1">
      <x:c r="A2" s="3" t="str">
        <x:v>Nama Rumah Sakit</x:v>
      </x:c>
      <x:c r="B2" s="3" t="str">
        <x:v>RS Simulasi ABC</x:v>
      </x:c>
      <x:c r="C2" s="3"/>
      <x:c r="D2" s="3"/>
      <x:c r="E2" s="3"/>
      <x:c r="F2" s="3"/>
    </x:row>
    <x:row r="3" ht="34" customHeight="1">
      <x:c r="A3" s="3" t="str">
        <x:v>Tipe RS</x:v>
      </x:c>
      <x:c r="B3" s="3" t="str">
        <x:v>B</x:v>
      </x:c>
      <x:c r="C3" s="3"/>
      <x:c r="D3" s="3"/>
      <x:c r="E3" s="3"/>
      <x:c r="F3" s="3"/>
    </x:row>
    <x:row r="4" ht="34" customHeight="1">
      <x:c r="A4" s="3" t="str">
        <x:v>Kepemilikan RS</x:v>
      </x:c>
      <x:c r="B4" s="3" t="str">
        <x:v>Pemerintah Daerah</x:v>
      </x:c>
      <x:c r="C4" s="3"/>
      <x:c r="D4" s="3"/>
      <x:c r="E4" s="3"/>
      <x:c r="F4" s="3"/>
    </x:row>
    <x:row r="5" ht="34" customHeight="1">
      <x:c r="A5" s="3" t="str">
        <x:v>Tahun Data</x:v>
      </x:c>
      <x:c r="B5" s="3" t="n">
        <x:v>2025</x:v>
      </x:c>
      <x:c r="C5" s="3"/>
      <x:c r="D5" s="3"/>
      <x:c r="E5" s="3"/>
      <x:c r="F5" s="3"/>
    </x:row>
    <x:row r="6" ht="34" customHeight="1">
      <x:c r="A6" s="3"/>
      <x:c r="B6" s="3"/>
      <x:c r="C6" s="3"/>
      <x:c r="D6" s="3"/>
      <x:c r="E6" s="3"/>
      <x:c r="F6" s="3"/>
    </x:row>
    <x:row r="7" ht="34" customHeight="1">
      <x:c r="A7" s="3" t="str">
        <x:v>BOR (%)</x:v>
      </x:c>
      <x:c r="B7" s="7" t="n">
        <x:f>SUM('Data Operasional'!D26:E30)/(B9*365)*100</x:f>
        <x:v>79</x:v>
      </x:c>
      <x:c r="C7" s="3"/>
      <x:c r="D7" s="3"/>
      <x:c r="E7" s="3"/>
      <x:c r="F7" s="3"/>
    </x:row>
    <x:row r="8" ht="34" customHeight="1">
      <x:c r="A8" s="3" t="str">
        <x:v>ALOS (hari)</x:v>
      </x:c>
      <x:c r="B8" s="7" t="n">
        <x:f>SUM('Data Operasional'!D26:E30)/SUM('Data Operasional'!B26:C30)</x:f>
        <x:v>4.471698113207547</x:v>
      </x:c>
      <x:c r="C8" s="3"/>
      <x:c r="D8" s="3"/>
      <x:c r="E8" s="3"/>
      <x:c r="F8" s="3"/>
    </x:row>
    <x:row r="9" ht="34" customHeight="1">
      <x:c r="A9" s="3" t="str">
        <x:v>Jumlah Tempat Tidur</x:v>
      </x:c>
      <x:c r="B9" s="8" t="n">
        <x:v>300</x:v>
      </x:c>
      <x:c r="C9" s="3"/>
      <x:c r="D9" s="3"/>
      <x:c r="E9" s="3"/>
      <x:c r="F9" s="3"/>
    </x:row>
    <x:row r="10" ht="34" customHeight="1">
      <x:c r="A10" s="3" t="str">
        <x:v>Lama Hari Rawat JKN</x:v>
      </x:c>
      <x:c r="B10" s="8" t="n">
        <x:f>SUM('Data Operasional'!D26:D30)</x:f>
        <x:v>75628</x:v>
      </x:c>
      <x:c r="C10" s="3"/>
      <x:c r="D10" s="3"/>
      <x:c r="E10" s="3"/>
      <x:c r="F10" s="3"/>
    </x:row>
    <x:row r="11" ht="34" customHeight="1">
      <x:c r="A11" s="3" t="str">
        <x:v>Lama Hari Rawat Non JKN</x:v>
      </x:c>
      <x:c r="B11" s="8" t="n">
        <x:f>SUM('Data Operasional'!E26:E30)</x:f>
        <x:v>10877</x:v>
      </x:c>
      <x:c r="C11" s="3"/>
      <x:c r="D11" s="3"/>
      <x:c r="E11" s="3"/>
      <x:c r="F11" s="3"/>
    </x:row>
    <x:row r="12" ht="34" customHeight="1">
      <x:c r="A12" s="3" t="str">
        <x:v>Jumlah SDM Dokter</x:v>
      </x:c>
      <x:c r="B12" s="8" t="n">
        <x:v>120</x:v>
      </x:c>
      <x:c r="C12" s="3"/>
      <x:c r="D12" s="3"/>
      <x:c r="E12" s="3"/>
      <x:c r="F12" s="3"/>
    </x:row>
    <x:row r="13" ht="34" customHeight="1">
      <x:c r="A13" s="3" t="str">
        <x:v>Jumlah SDM Nakes</x:v>
      </x:c>
      <x:c r="B13" s="8" t="n">
        <x:v>600</x:v>
      </x:c>
      <x:c r="C13" s="3"/>
      <x:c r="D13" s="3"/>
      <x:c r="E13" s="3"/>
      <x:c r="F13" s="3"/>
    </x:row>
    <x:row r="14" ht="34" customHeight="1">
      <x:c r="A14" s="3" t="str">
        <x:v>Jumlah SDM Non Nakes</x:v>
      </x:c>
      <x:c r="B14" s="8" t="n">
        <x:v>180</x:v>
      </x:c>
      <x:c r="C14" s="3"/>
      <x:c r="D14" s="3"/>
      <x:c r="E14" s="3"/>
      <x:c r="F14" s="3"/>
    </x:row>
    <x:row r="15" ht="34" customHeight="1">
      <x:c r="A15" s="3" t="str">
        <x:v>Biaya Gaji</x:v>
      </x:c>
      <x:c r="B15" s="8" t="n">
        <x:f>'Data LO Lapkeu'!B8</x:f>
        <x:v>86772592499</x:v>
      </x:c>
      <x:c r="C15" s="3"/>
      <x:c r="D15" s="3"/>
      <x:c r="E15" s="3"/>
      <x:c r="F15" s="3"/>
    </x:row>
    <x:row r="16" ht="34" customHeight="1">
      <x:c r="A16" s="3" t="str">
        <x:v>Biaya Jasa/Remunerasi</x:v>
      </x:c>
      <x:c r="B16" s="8" t="n">
        <x:f>'Data LO Lapkeu'!B9</x:f>
        <x:v>15776834999</x:v>
      </x:c>
      <x:c r="C16" s="3"/>
      <x:c r="D16" s="3"/>
      <x:c r="E16" s="3"/>
      <x:c r="F16" s="3"/>
    </x:row>
    <x:row r="17" ht="34" customHeight="1">
      <x:c r="A17" s="3" t="str">
        <x:v>Biaya Operasional Lainnya</x:v>
      </x:c>
      <x:c r="B17" s="8" t="n">
        <x:f>'Data LO Lapkeu'!B10</x:f>
        <x:v>47330505000</x:v>
      </x:c>
      <x:c r="C17" s="3"/>
      <x:c r="D17" s="3"/>
      <x:c r="E17" s="3"/>
      <x:c r="F17" s="3"/>
    </x:row>
    <x:row r="18" ht="34" customHeight="1">
      <x:c r="A18" s="3" t="str">
        <x:v>Biaya Penyusutan</x:v>
      </x:c>
      <x:c r="B18" s="8" t="n">
        <x:f>'Data LO Lapkeu'!B11</x:f>
        <x:v>7888417501</x:v>
      </x:c>
      <x:c r="C18" s="3"/>
      <x:c r="D18" s="3"/>
      <x:c r="E18" s="3"/>
      <x:c r="F18" s="3"/>
    </x:row>
    <x:row r="19" ht="34" customHeight="1">
      <x:c r="A19" s="3" t="str">
        <x:v>Pendapatan Fungsional JKN</x:v>
      </x:c>
      <x:c r="B19" s="8" t="n">
        <x:f>'Data LO Lapkeu'!B16</x:f>
        <x:v>138836147999.12</x:v>
      </x:c>
      <x:c r="C19" s="3"/>
      <x:c r="D19" s="3"/>
      <x:c r="E19" s="3"/>
      <x:c r="F19" s="3"/>
    </x:row>
    <x:row r="20" ht="34" customHeight="1">
      <x:c r="A20" s="3" t="str">
        <x:v>Pendapatan Fungsional Non JKN</x:v>
      </x:c>
      <x:c r="B20" s="8" t="n">
        <x:f>'Data LO Lapkeu'!B17</x:f>
        <x:v>34709036999.78</x:v>
      </x:c>
      <x:c r="C20" s="3"/>
      <x:c r="D20" s="3"/>
      <x:c r="E20" s="3"/>
      <x:c r="F20" s="3"/>
    </x:row>
    <x:row r="21" ht="34" customHeight="1">
      <x:c r="A21" s="3" t="str">
        <x:v>Pendapatan Lainnya</x:v>
      </x:c>
      <x:c r="B21" s="8" t="n">
        <x:f>'Data LO Lapkeu'!B18</x:f>
        <x:v>1000000000</x:v>
      </x:c>
      <x:c r="C21" s="3"/>
      <x:c r="D21" s="3"/>
      <x:c r="E21" s="3"/>
      <x:c r="F21" s="3"/>
    </x:row>
    <x:row r="22" ht="34" customHeight="1">
      <x:c r="A22" s="3" t="str">
        <x:v>Subsidi/Pendanaan Pemerintah</x:v>
      </x:c>
      <x:c r="B22" s="8" t="n">
        <x:f>'Data LO Lapkeu'!B19</x:f>
        <x:v>3000000000</x:v>
      </x:c>
      <x:c r="C22" s="3"/>
      <x:c r="D22" s="3"/>
      <x:c r="E22" s="3"/>
      <x:c r="F22" s="3"/>
    </x:row>
    <x:row r="23" ht="34" customHeight="1">
      <x:c r="A23" s="3"/>
      <x:c r="B23" s="3"/>
      <x:c r="C23" s="3"/>
      <x:c r="D23" s="3"/>
      <x:c r="E23" s="3"/>
      <x:c r="F23" s="3"/>
    </x:row>
    <x:row r="24" ht="34" customHeight="1">
      <x:c r="A24" s="6" t="str">
        <x:v>Kapasitas per kelas</x:v>
      </x:c>
      <x:c r="B24" s="6" t="str">
        <x:v>Tempat tidur</x:v>
      </x:c>
      <x:c r="C24" s="6" t="str">
        <x:v>Dokter</x:v>
      </x:c>
      <x:c r="D24" s="6" t="str">
        <x:v>Nakes</x:v>
      </x:c>
      <x:c r="E24" s="6" t="str">
        <x:v>Non-nakes</x:v>
      </x:c>
      <x:c r="F24" s="6" t="str">
        <x:v>Jumlah staf</x:v>
      </x:c>
    </x:row>
    <x:row r="25" ht="34" customHeight="1">
      <x:c r="A25" s="3" t="str">
        <x:v>Kamar Rawat Inap Standar (KRIS) C</x:v>
      </x:c>
      <x:c r="B25" s="3" t="n">
        <x:v>150</x:v>
      </x:c>
      <x:c r="C25" s="3" t="n">
        <x:v>4</x:v>
      </x:c>
      <x:c r="D25" s="3" t="n">
        <x:v>70</x:v>
      </x:c>
      <x:c r="E25" s="3" t="n">
        <x:v>3</x:v>
      </x:c>
      <x:c r="F25" s="3" t="n">
        <x:v>77</x:v>
      </x:c>
    </x:row>
    <x:row r="26" ht="34" customHeight="1">
      <x:c r="A26" s="3" t="str">
        <x:v>Kamar Rawat Inap Standar (KRIS) B</x:v>
      </x:c>
      <x:c r="B26" s="3" t="n">
        <x:v>70</x:v>
      </x:c>
      <x:c r="C26" s="3" t="n">
        <x:v>2</x:v>
      </x:c>
      <x:c r="D26" s="3" t="n">
        <x:v>35</x:v>
      </x:c>
      <x:c r="E26" s="3" t="n">
        <x:v>3</x:v>
      </x:c>
      <x:c r="F26" s="3" t="n">
        <x:v>40</x:v>
      </x:c>
    </x:row>
    <x:row r="27" ht="34" customHeight="1">
      <x:c r="A27" s="3" t="str">
        <x:v>Kamar Rawat Inap Standar (KRIS) A</x:v>
      </x:c>
      <x:c r="B27" s="3" t="n">
        <x:v>40</x:v>
      </x:c>
      <x:c r="C27" s="3" t="n">
        <x:v>2</x:v>
      </x:c>
      <x:c r="D27" s="3" t="n">
        <x:v>25</x:v>
      </x:c>
      <x:c r="E27" s="3" t="n">
        <x:v>3</x:v>
      </x:c>
      <x:c r="F27" s="3" t="n">
        <x:v>30</x:v>
      </x:c>
    </x:row>
    <x:row r="28" ht="34" customHeight="1">
      <x:c r="A28" s="3" t="str">
        <x:v>Kamar VIP/VVIP/Suite</x:v>
      </x:c>
      <x:c r="B28" s="3" t="n">
        <x:v>20</x:v>
      </x:c>
      <x:c r="C28" s="3" t="n">
        <x:v>2</x:v>
      </x:c>
      <x:c r="D28" s="3" t="n">
        <x:v>14</x:v>
      </x:c>
      <x:c r="E28" s="3" t="n">
        <x:v>3</x:v>
      </x:c>
      <x:c r="F28" s="3" t="n">
        <x:v>19</x:v>
      </x:c>
    </x:row>
    <x:row r="29" ht="34" customHeight="1">
      <x:c r="A29" s="3" t="str">
        <x:v>Kamar ICU/ICCU/NICU/PICU/HCU</x:v>
      </x:c>
      <x:c r="B29" s="3" t="n">
        <x:v>20</x:v>
      </x:c>
      <x:c r="C29" s="3" t="n">
        <x:v>5</x:v>
      </x:c>
      <x:c r="D29" s="3" t="n">
        <x:v>48</x:v>
      </x:c>
      <x:c r="E29" s="3" t="n">
        <x:v>3</x:v>
      </x:c>
      <x:c r="F29" s="3" t="n">
        <x:v>56</x:v>
      </x:c>
    </x:row>
    <x:row r="30" ht="34" customHeight="1">
      <x:c r="A30" s="3"/>
      <x:c r="B30" s="3"/>
      <x:c r="C30" s="3"/>
      <x:c r="D30" s="3"/>
      <x:c r="E30" s="3"/>
      <x:c r="F30" s="3"/>
    </x:row>
    <x:row r="31" ht="34" customHeight="1">
      <x:c r="A31" s="6" t="str">
        <x:v>Rincian personel per kelompok</x:v>
      </x:c>
      <x:c r="B31" s="6" t="str">
        <x:v>Dokter</x:v>
      </x:c>
      <x:c r="C31" s="6" t="str">
        <x:v>Nakes</x:v>
      </x:c>
      <x:c r="D31" s="6" t="str">
        <x:v>Non-nakes</x:v>
      </x:c>
      <x:c r="E31" s="3"/>
      <x:c r="F31" s="3"/>
    </x:row>
    <x:row r="32" ht="34" customHeight="1">
      <x:c r="A32" s="3" t="str">
        <x:v>Overhead</x:v>
      </x:c>
      <x:c r="B32" s="3" t="n">
        <x:v>3</x:v>
      </x:c>
      <x:c r="C32" s="3" t="n">
        <x:v>4</x:v>
      </x:c>
      <x:c r="D32" s="3" t="n">
        <x:v>85</x:v>
      </x:c>
      <x:c r="E32" s="3"/>
      <x:c r="F32" s="3"/>
    </x:row>
    <x:row r="33" ht="34" customHeight="1">
      <x:c r="A33" s="3" t="str">
        <x:v>Intermediate</x:v>
      </x:c>
      <x:c r="B33" s="3" t="n">
        <x:v>22</x:v>
      </x:c>
      <x:c r="C33" s="3" t="n">
        <x:v>156</x:v>
      </x:c>
      <x:c r="D33" s="3" t="n">
        <x:v>30</x:v>
      </x:c>
      <x:c r="E33" s="3"/>
      <x:c r="F33" s="3"/>
    </x:row>
    <x:row r="34" ht="34" customHeight="1">
      <x:c r="A34" s="3" t="str">
        <x:v>Final</x:v>
      </x:c>
      <x:c r="B34" s="3" t="n">
        <x:v>95</x:v>
      </x:c>
      <x:c r="C34" s="3" t="n">
        <x:v>440</x:v>
      </x:c>
      <x:c r="D34" s="3" t="n">
        <x:v>65</x:v>
      </x:c>
      <x:c r="E34" s="3"/>
      <x:c r="F34" s="3"/>
    </x:row>
    <x:row r="35" ht="34" customHeight="1">
      <x:c r="A35" s="3"/>
      <x:c r="B35" s="3"/>
      <x:c r="C35" s="3"/>
      <x:c r="D35" s="3"/>
      <x:c r="E35" s="3"/>
      <x:c r="F35" s="3"/>
    </x:row>
    <x:row r="36" ht="75" customHeight="1">
      <x:c r="A36" s="3" t="str">
        <x:v>Status data</x:v>
      </x:c>
      <x:c r="B36" s="3" t="str">
        <x:v>Seluruh identitas dan angka adalah sintetis untuk simulasi.</x:v>
      </x:c>
      <x:c r="C36" s="3"/>
      <x:c r="D36" s="3"/>
      <x:c r="E36" s="3"/>
      <x:c r="F36" s="3"/>
    </x:row>
    <x:row r="37" ht="75" customHeight="1">
      <x:c r="A37" s="3" t="str">
        <x:v>Asumsi</x:v>
      </x:c>
      <x:c r="B37" s="3" t="str">
        <x:v>365 hari; tanpa perubahan volume selama tahun. Target unit cost bukan tarif resmi atau standar klinis.</x:v>
      </x:c>
      <x:c r="C37" s="3"/>
      <x:c r="D37" s="3"/>
      <x:c r="E37" s="3"/>
      <x:c r="F37" s="3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8" hidden="0" customWidth="1"/>
    <x:col min="2" max="2" width="21" hidden="0" customWidth="1"/>
    <x:col min="3" max="3" width="21" hidden="0" customWidth="1"/>
    <x:col min="4" max="4" width="21" hidden="0" customWidth="1"/>
    <x:col min="5" max="5" width="21" hidden="0" customWidth="1"/>
    <x:col min="6" max="6" width="21" hidden="0" customWidth="1"/>
    <x:col min="7" max="7" width="21" hidden="0" customWidth="1"/>
    <x:col min="8" max="8" width="15" hidden="0" customWidth="1"/>
    <x:col min="9" max="9" width="15" hidden="0" customWidth="1"/>
    <x:col min="10" max="10" width="15" hidden="0" customWidth="1"/>
    <x:col min="11" max="11" width="22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</x:cols>
  <x:sheetData>
    <x:row r="1" ht="54" customHeight="1">
      <x:c r="A1" s="6" t="str">
        <x:v>DATA OPERASIONAL RS</x:v>
      </x:c>
      <x:c r="B1" s="6" t="str">
        <x:v>Kunjungan JKN</x:v>
      </x:c>
      <x:c r="C1" s="6" t="str">
        <x:v>Kunjungan Non-JKN</x:v>
      </x:c>
      <x:c r="D1" s="6" t="str">
        <x:v>Hari Rawat JKN</x:v>
      </x:c>
      <x:c r="E1" s="6" t="str">
        <x:v>Hari Rawat Non-JKN</x:v>
      </x:c>
      <x:c r="F1" s="6" t="str">
        <x:v>Total Kunjungan (Otomatis)</x:v>
      </x:c>
      <x:c r="G1" s="6" t="str">
        <x:v>Total Hari Rawat (Otomatis)</x:v>
      </x:c>
      <x:c r="H1" s="6" t="str">
        <x:v>Jumlah TT</x:v>
      </x:c>
      <x:c r="I1" s="6" t="str">
        <x:v>ALOS (hari)</x:v>
      </x:c>
      <x:c r="J1" s="6" t="str">
        <x:v>BOR (%)</x:v>
      </x:c>
      <x:c r="K1" s="6" t="str">
        <x:v>Satuan layanan</x:v>
      </x:c>
      <x:c r="L1" s="6" t="str">
        <x:v>Dokter</x:v>
      </x:c>
      <x:c r="M1" s="6" t="str">
        <x:v>Nakes</x:v>
      </x:c>
      <x:c r="N1" s="6" t="str">
        <x:v>Non-nakes</x:v>
      </x:c>
      <x:c r="O1" s="6" t="str">
        <x:v>Luas lantai (m²)</x:v>
      </x:c>
    </x:row>
    <x:row r="2" ht="34" customHeight="1">
      <x:c r="A2" s="3" t="str">
        <x:v>Manajemen &amp; Administrasi</x:v>
      </x:c>
      <x:c r="B2" s="8" t="n">
        <x:v>0</x:v>
      </x:c>
      <x:c r="C2" s="8" t="n">
        <x:v>0</x:v>
      </x:c>
      <x:c r="D2" s="8" t="n">
        <x:v>0</x:v>
      </x:c>
      <x:c r="E2" s="8" t="n">
        <x:v>0</x:v>
      </x:c>
      <x:c r="F2" s="8" t="n">
        <x:f>SUM(B2:C2)</x:f>
        <x:v>0</x:v>
      </x:c>
      <x:c r="G2" s="8" t="n">
        <x:f>SUM(D2:E2)</x:f>
        <x:v>0</x:v>
      </x:c>
      <x:c r="H2" s="8" t="n">
        <x:v>0</x:v>
      </x:c>
      <x:c r="I2" s="7" t="n">
        <x:f>IF(H2&gt;0,G2/F2,0)</x:f>
        <x:v>0</x:v>
      </x:c>
      <x:c r="J2" s="7" t="n">
        <x:f>IF(H2&gt;0,G2/(H2*365)*100,0)</x:f>
        <x:v>0</x:v>
      </x:c>
      <x:c r="K2" s="3" t="str">
        <x:v>aktivitas pendukung</x:v>
      </x:c>
      <x:c r="L2" s="3" t="n">
        <x:v>1</x:v>
      </x:c>
      <x:c r="M2" s="3" t="n">
        <x:v>1</x:v>
      </x:c>
      <x:c r="N2" s="3" t="n">
        <x:v>25</x:v>
      </x:c>
      <x:c r="O2" s="3" t="n">
        <x:v>450</x:v>
      </x:c>
    </x:row>
    <x:row r="3" ht="34" customHeight="1">
      <x:c r="A3" s="3" t="str">
        <x:v>Komite &amp; Pengawasan</x:v>
      </x:c>
      <x:c r="B3" s="8" t="n">
        <x:v>0</x:v>
      </x:c>
      <x:c r="C3" s="8" t="n">
        <x:v>0</x:v>
      </x:c>
      <x:c r="D3" s="8" t="n">
        <x:v>0</x:v>
      </x:c>
      <x:c r="E3" s="8" t="n">
        <x:v>0</x:v>
      </x:c>
      <x:c r="F3" s="8" t="n">
        <x:f>SUM(B3:C3)</x:f>
        <x:v>0</x:v>
      </x:c>
      <x:c r="G3" s="8" t="n">
        <x:f>SUM(D3:E3)</x:f>
        <x:v>0</x:v>
      </x:c>
      <x:c r="H3" s="8" t="n">
        <x:v>0</x:v>
      </x:c>
      <x:c r="I3" s="7" t="n">
        <x:f>IF(H3&gt;0,G3/F3,0)</x:f>
        <x:v>0</x:v>
      </x:c>
      <x:c r="J3" s="7" t="n">
        <x:f>IF(H3&gt;0,G3/(H3*365)*100,0)</x:f>
        <x:v>0</x:v>
      </x:c>
      <x:c r="K3" s="3" t="str">
        <x:v>aktivitas pendukung</x:v>
      </x:c>
      <x:c r="L3" s="3" t="n">
        <x:v>1</x:v>
      </x:c>
      <x:c r="M3" s="3" t="n">
        <x:v>1</x:v>
      </x:c>
      <x:c r="N3" s="3" t="n">
        <x:v>4</x:v>
      </x:c>
      <x:c r="O3" s="3" t="n">
        <x:v>60</x:v>
      </x:c>
    </x:row>
    <x:row r="4" ht="34" customHeight="1">
      <x:c r="A4" s="3" t="str">
        <x:v>Teknologi Informasi</x:v>
      </x:c>
      <x:c r="B4" s="8" t="n">
        <x:v>0</x:v>
      </x:c>
      <x:c r="C4" s="8" t="n">
        <x:v>0</x:v>
      </x:c>
      <x:c r="D4" s="8" t="n">
        <x:v>0</x:v>
      </x:c>
      <x:c r="E4" s="8" t="n">
        <x:v>0</x:v>
      </x:c>
      <x:c r="F4" s="8" t="n">
        <x:f>SUM(B4:C4)</x:f>
        <x:v>0</x:v>
      </x:c>
      <x:c r="G4" s="8" t="n">
        <x:f>SUM(D4:E4)</x:f>
        <x:v>0</x:v>
      </x:c>
      <x:c r="H4" s="8" t="n">
        <x:v>0</x:v>
      </x:c>
      <x:c r="I4" s="7" t="n">
        <x:f>IF(H4&gt;0,G4/F4,0)</x:f>
        <x:v>0</x:v>
      </x:c>
      <x:c r="J4" s="7" t="n">
        <x:f>IF(H4&gt;0,G4/(H4*365)*100,0)</x:f>
        <x:v>0</x:v>
      </x:c>
      <x:c r="K4" s="3" t="str">
        <x:v>aktivitas pendukung</x:v>
      </x:c>
      <x:c r="L4" s="3" t="n">
        <x:v>0</x:v>
      </x:c>
      <x:c r="M4" s="3" t="n">
        <x:v>0</x:v>
      </x:c>
      <x:c r="N4" s="3" t="n">
        <x:v>6</x:v>
      </x:c>
      <x:c r="O4" s="3" t="n">
        <x:v>120</x:v>
      </x:c>
    </x:row>
    <x:row r="5" ht="34" customHeight="1">
      <x:c r="A5" s="3" t="str">
        <x:v>Pendidikan &amp; Penelitian</x:v>
      </x:c>
      <x:c r="B5" s="8" t="n">
        <x:v>0</x:v>
      </x:c>
      <x:c r="C5" s="8" t="n">
        <x:v>0</x:v>
      </x:c>
      <x:c r="D5" s="8" t="n">
        <x:v>0</x:v>
      </x:c>
      <x:c r="E5" s="8" t="n">
        <x:v>0</x:v>
      </x:c>
      <x:c r="F5" s="8" t="n">
        <x:f>SUM(B5:C5)</x:f>
        <x:v>0</x:v>
      </x:c>
      <x:c r="G5" s="8" t="n">
        <x:f>SUM(D5:E5)</x:f>
        <x:v>0</x:v>
      </x:c>
      <x:c r="H5" s="8" t="n">
        <x:v>0</x:v>
      </x:c>
      <x:c r="I5" s="7" t="n">
        <x:f>IF(H5&gt;0,G5/F5,0)</x:f>
        <x:v>0</x:v>
      </x:c>
      <x:c r="J5" s="7" t="n">
        <x:f>IF(H5&gt;0,G5/(H5*365)*100,0)</x:f>
        <x:v>0</x:v>
      </x:c>
      <x:c r="K5" s="3" t="str">
        <x:v>aktivitas pendukung</x:v>
      </x:c>
      <x:c r="L5" s="3" t="n">
        <x:v>1</x:v>
      </x:c>
      <x:c r="M5" s="3" t="n">
        <x:v>1</x:v>
      </x:c>
      <x:c r="N5" s="3" t="n">
        <x:v>9</x:v>
      </x:c>
      <x:c r="O5" s="3" t="n">
        <x:v>180</x:v>
      </x:c>
    </x:row>
    <x:row r="6" ht="34" customHeight="1">
      <x:c r="A6" s="3" t="str">
        <x:v>Keamanan &amp; Keselamatan</x:v>
      </x:c>
      <x:c r="B6" s="8" t="n">
        <x:v>0</x:v>
      </x:c>
      <x:c r="C6" s="8" t="n">
        <x:v>0</x:v>
      </x:c>
      <x:c r="D6" s="8" t="n">
        <x:v>0</x:v>
      </x:c>
      <x:c r="E6" s="8" t="n">
        <x:v>0</x:v>
      </x:c>
      <x:c r="F6" s="8" t="n">
        <x:f>SUM(B6:C6)</x:f>
        <x:v>0</x:v>
      </x:c>
      <x:c r="G6" s="8" t="n">
        <x:f>SUM(D6:E6)</x:f>
        <x:v>0</x:v>
      </x:c>
      <x:c r="H6" s="8" t="n">
        <x:v>0</x:v>
      </x:c>
      <x:c r="I6" s="7" t="n">
        <x:f>IF(H6&gt;0,G6/F6,0)</x:f>
        <x:v>0</x:v>
      </x:c>
      <x:c r="J6" s="7" t="n">
        <x:f>IF(H6&gt;0,G6/(H6*365)*100,0)</x:f>
        <x:v>0</x:v>
      </x:c>
      <x:c r="K6" s="3" t="str">
        <x:v>aktivitas pendukung</x:v>
      </x:c>
      <x:c r="L6" s="3" t="n">
        <x:v>0</x:v>
      </x:c>
      <x:c r="M6" s="3" t="n">
        <x:v>0</x:v>
      </x:c>
      <x:c r="N6" s="3" t="n">
        <x:v>9</x:v>
      </x:c>
      <x:c r="O6" s="3" t="n">
        <x:v>120</x:v>
      </x:c>
    </x:row>
    <x:row r="7" ht="34" customHeight="1">
      <x:c r="A7" s="3" t="str">
        <x:v>Cleaning Services</x:v>
      </x:c>
      <x:c r="B7" s="8" t="n">
        <x:v>0</x:v>
      </x:c>
      <x:c r="C7" s="8" t="n">
        <x:v>0</x:v>
      </x:c>
      <x:c r="D7" s="8" t="n">
        <x:v>0</x:v>
      </x:c>
      <x:c r="E7" s="8" t="n">
        <x:v>0</x:v>
      </x:c>
      <x:c r="F7" s="8" t="n">
        <x:f>SUM(B7:C7)</x:f>
        <x:v>0</x:v>
      </x:c>
      <x:c r="G7" s="8" t="n">
        <x:f>SUM(D7:E7)</x:f>
        <x:v>0</x:v>
      </x:c>
      <x:c r="H7" s="8" t="n">
        <x:v>0</x:v>
      </x:c>
      <x:c r="I7" s="7" t="n">
        <x:f>IF(H7&gt;0,G7/F7,0)</x:f>
        <x:v>0</x:v>
      </x:c>
      <x:c r="J7" s="7" t="n">
        <x:f>IF(H7&gt;0,G7/(H7*365)*100,0)</x:f>
        <x:v>0</x:v>
      </x:c>
      <x:c r="K7" s="3" t="str">
        <x:v>aktivitas pendukung</x:v>
      </x:c>
      <x:c r="L7" s="3" t="n">
        <x:v>0</x:v>
      </x:c>
      <x:c r="M7" s="3" t="n">
        <x:v>0</x:v>
      </x:c>
      <x:c r="N7" s="3" t="n">
        <x:v>10</x:v>
      </x:c>
      <x:c r="O7" s="3" t="n">
        <x:v>100</x:v>
      </x:c>
    </x:row>
    <x:row r="8" ht="34" customHeight="1">
      <x:c r="A8" s="3" t="str">
        <x:v>Customer Service / Front Office</x:v>
      </x:c>
      <x:c r="B8" s="8" t="n">
        <x:v>0</x:v>
      </x:c>
      <x:c r="C8" s="8" t="n">
        <x:v>0</x:v>
      </x:c>
      <x:c r="D8" s="8" t="n">
        <x:v>0</x:v>
      </x:c>
      <x:c r="E8" s="8" t="n">
        <x:v>0</x:v>
      </x:c>
      <x:c r="F8" s="8" t="n">
        <x:f>SUM(B8:C8)</x:f>
        <x:v>0</x:v>
      </x:c>
      <x:c r="G8" s="8" t="n">
        <x:f>SUM(D8:E8)</x:f>
        <x:v>0</x:v>
      </x:c>
      <x:c r="H8" s="8" t="n">
        <x:v>0</x:v>
      </x:c>
      <x:c r="I8" s="7" t="n">
        <x:f>IF(H8&gt;0,G8/F8,0)</x:f>
        <x:v>0</x:v>
      </x:c>
      <x:c r="J8" s="7" t="n">
        <x:f>IF(H8&gt;0,G8/(H8*365)*100,0)</x:f>
        <x:v>0</x:v>
      </x:c>
      <x:c r="K8" s="3" t="str">
        <x:v>aktivitas pendukung</x:v>
      </x:c>
      <x:c r="L8" s="3" t="n">
        <x:v>0</x:v>
      </x:c>
      <x:c r="M8" s="3" t="n">
        <x:v>0</x:v>
      </x:c>
      <x:c r="N8" s="3" t="n">
        <x:v>7</x:v>
      </x:c>
      <x:c r="O8" s="3" t="n">
        <x:v>120</x:v>
      </x:c>
    </x:row>
    <x:row r="9" ht="34" customHeight="1">
      <x:c r="A9" s="3" t="str">
        <x:v>Bahan Habis Pakai - Non Medis</x:v>
      </x:c>
      <x:c r="B9" s="8" t="n">
        <x:v>0</x:v>
      </x:c>
      <x:c r="C9" s="8" t="n">
        <x:v>0</x:v>
      </x:c>
      <x:c r="D9" s="8" t="n">
        <x:v>0</x:v>
      </x:c>
      <x:c r="E9" s="8" t="n">
        <x:v>0</x:v>
      </x:c>
      <x:c r="F9" s="8" t="n">
        <x:f>SUM(B9:C9)</x:f>
        <x:v>0</x:v>
      </x:c>
      <x:c r="G9" s="8" t="n">
        <x:f>SUM(D9:E9)</x:f>
        <x:v>0</x:v>
      </x:c>
      <x:c r="H9" s="8" t="n">
        <x:v>0</x:v>
      </x:c>
      <x:c r="I9" s="7" t="n">
        <x:f>IF(H9&gt;0,G9/F9,0)</x:f>
        <x:v>0</x:v>
      </x:c>
      <x:c r="J9" s="7" t="n">
        <x:f>IF(H9&gt;0,G9/(H9*365)*100,0)</x:f>
        <x:v>0</x:v>
      </x:c>
      <x:c r="K9" s="3" t="str">
        <x:v>aktivitas pendukung</x:v>
      </x:c>
      <x:c r="L9" s="3" t="n">
        <x:v>0</x:v>
      </x:c>
      <x:c r="M9" s="3" t="n">
        <x:v>0</x:v>
      </x:c>
      <x:c r="N9" s="3" t="n">
        <x:v>3</x:v>
      </x:c>
      <x:c r="O9" s="3" t="n">
        <x:v>60</x:v>
      </x:c>
    </x:row>
    <x:row r="10" ht="34" customHeight="1">
      <x:c r="A10" s="3" t="str">
        <x:v>Fasilitas (Listrik, Air, Telepon, Internet)</x:v>
      </x:c>
      <x:c r="B10" s="8" t="n">
        <x:v>0</x:v>
      </x:c>
      <x:c r="C10" s="8" t="n">
        <x:v>0</x:v>
      </x:c>
      <x:c r="D10" s="8" t="n">
        <x:v>0</x:v>
      </x:c>
      <x:c r="E10" s="8" t="n">
        <x:v>0</x:v>
      </x:c>
      <x:c r="F10" s="8" t="n">
        <x:f>SUM(B10:C10)</x:f>
        <x:v>0</x:v>
      </x:c>
      <x:c r="G10" s="8" t="n">
        <x:f>SUM(D10:E10)</x:f>
        <x:v>0</x:v>
      </x:c>
      <x:c r="H10" s="8" t="n">
        <x:v>0</x:v>
      </x:c>
      <x:c r="I10" s="7" t="n">
        <x:f>IF(H10&gt;0,G10/F10,0)</x:f>
        <x:v>0</x:v>
      </x:c>
      <x:c r="J10" s="7" t="n">
        <x:f>IF(H10&gt;0,G10/(H10*365)*100,0)</x:f>
        <x:v>0</x:v>
      </x:c>
      <x:c r="K10" s="3" t="str">
        <x:v>aktivitas pendukung</x:v>
      </x:c>
      <x:c r="L10" s="3" t="n">
        <x:v>0</x:v>
      </x:c>
      <x:c r="M10" s="3" t="n">
        <x:v>1</x:v>
      </x:c>
      <x:c r="N10" s="3" t="n">
        <x:v>6</x:v>
      </x:c>
      <x:c r="O10" s="3" t="n">
        <x:v>200</x:v>
      </x:c>
    </x:row>
    <x:row r="11" ht="34" customHeight="1">
      <x:c r="A11" s="3" t="str">
        <x:v>Pajak &amp; Asuransi</x:v>
      </x:c>
      <x:c r="B11" s="8" t="n">
        <x:v>0</x:v>
      </x:c>
      <x:c r="C11" s="8" t="n">
        <x:v>0</x:v>
      </x:c>
      <x:c r="D11" s="8" t="n">
        <x:v>0</x:v>
      </x:c>
      <x:c r="E11" s="8" t="n">
        <x:v>0</x:v>
      </x:c>
      <x:c r="F11" s="8" t="n">
        <x:f>SUM(B11:C11)</x:f>
        <x:v>0</x:v>
      </x:c>
      <x:c r="G11" s="8" t="n">
        <x:f>SUM(D11:E11)</x:f>
        <x:v>0</x:v>
      </x:c>
      <x:c r="H11" s="8" t="n">
        <x:v>0</x:v>
      </x:c>
      <x:c r="I11" s="7" t="n">
        <x:f>IF(H11&gt;0,G11/F11,0)</x:f>
        <x:v>0</x:v>
      </x:c>
      <x:c r="J11" s="7" t="n">
        <x:f>IF(H11&gt;0,G11/(H11*365)*100,0)</x:f>
        <x:v>0</x:v>
      </x:c>
      <x:c r="K11" s="3" t="str">
        <x:v>aktivitas pendukung</x:v>
      </x:c>
      <x:c r="L11" s="3" t="n">
        <x:v>0</x:v>
      </x:c>
      <x:c r="M11" s="3" t="n">
        <x:v>0</x:v>
      </x:c>
      <x:c r="N11" s="3" t="n">
        <x:v>2</x:v>
      </x:c>
      <x:c r="O11" s="3" t="n">
        <x:v>30</x:v>
      </x:c>
    </x:row>
    <x:row r="12" ht="34" customHeight="1">
      <x:c r="A12" s="3" t="str">
        <x:v>Sewa dan Kerja Sama Operasional</x:v>
      </x:c>
      <x:c r="B12" s="8" t="n">
        <x:v>0</x:v>
      </x:c>
      <x:c r="C12" s="8" t="n">
        <x:v>0</x:v>
      </x:c>
      <x:c r="D12" s="8" t="n">
        <x:v>0</x:v>
      </x:c>
      <x:c r="E12" s="8" t="n">
        <x:v>0</x:v>
      </x:c>
      <x:c r="F12" s="8" t="n">
        <x:f>SUM(B12:C12)</x:f>
        <x:v>0</x:v>
      </x:c>
      <x:c r="G12" s="8" t="n">
        <x:f>SUM(D12:E12)</x:f>
        <x:v>0</x:v>
      </x:c>
      <x:c r="H12" s="8" t="n">
        <x:v>0</x:v>
      </x:c>
      <x:c r="I12" s="7" t="n">
        <x:f>IF(H12&gt;0,G12/F12,0)</x:f>
        <x:v>0</x:v>
      </x:c>
      <x:c r="J12" s="7" t="n">
        <x:f>IF(H12&gt;0,G12/(H12*365)*100,0)</x:f>
        <x:v>0</x:v>
      </x:c>
      <x:c r="K12" s="3" t="str">
        <x:v>aktivitas pendukung</x:v>
      </x:c>
      <x:c r="L12" s="3" t="n">
        <x:v>0</x:v>
      </x:c>
      <x:c r="M12" s="3" t="n">
        <x:v>0</x:v>
      </x:c>
      <x:c r="N12" s="3" t="n">
        <x:v>2</x:v>
      </x:c>
      <x:c r="O12" s="3" t="n">
        <x:v>40</x:v>
      </x:c>
    </x:row>
    <x:row r="13" ht="34" customHeight="1">
      <x:c r="A13" s="3" t="str">
        <x:v>Parkir</x:v>
      </x:c>
      <x:c r="B13" s="8" t="n">
        <x:v>0</x:v>
      </x:c>
      <x:c r="C13" s="8" t="n">
        <x:v>0</x:v>
      </x:c>
      <x:c r="D13" s="8" t="n">
        <x:v>0</x:v>
      </x:c>
      <x:c r="E13" s="8" t="n">
        <x:v>0</x:v>
      </x:c>
      <x:c r="F13" s="8" t="n">
        <x:f>SUM(B13:C13)</x:f>
        <x:v>0</x:v>
      </x:c>
      <x:c r="G13" s="8" t="n">
        <x:f>SUM(D13:E13)</x:f>
        <x:v>0</x:v>
      </x:c>
      <x:c r="H13" s="8" t="n">
        <x:v>0</x:v>
      </x:c>
      <x:c r="I13" s="7" t="n">
        <x:f>IF(H13&gt;0,G13/F13,0)</x:f>
        <x:v>0</x:v>
      </x:c>
      <x:c r="J13" s="7" t="n">
        <x:f>IF(H13&gt;0,G13/(H13*365)*100,0)</x:f>
        <x:v>0</x:v>
      </x:c>
      <x:c r="K13" s="3" t="str">
        <x:v>aktivitas pendukung</x:v>
      </x:c>
      <x:c r="L13" s="3" t="n">
        <x:v>0</x:v>
      </x:c>
      <x:c r="M13" s="3" t="n">
        <x:v>0</x:v>
      </x:c>
      <x:c r="N13" s="3" t="n">
        <x:v>2</x:v>
      </x:c>
      <x:c r="O13" s="3" t="n">
        <x:v>100</x:v>
      </x:c>
    </x:row>
    <x:row r="14" ht="34" customHeight="1">
      <x:c r="A14" s="3" t="str">
        <x:v>Farmasi</x:v>
      </x:c>
      <x:c r="B14" s="8" t="n">
        <x:v>256000</x:v>
      </x:c>
      <x:c r="C14" s="8" t="n">
        <x:v>64000</x:v>
      </x:c>
      <x:c r="D14" s="8" t="n">
        <x:v>0</x:v>
      </x:c>
      <x:c r="E14" s="8" t="n">
        <x:v>0</x:v>
      </x:c>
      <x:c r="F14" s="8" t="n">
        <x:f>SUM(B14:C14)</x:f>
        <x:v>320000</x:v>
      </x:c>
      <x:c r="G14" s="8" t="n">
        <x:f>SUM(D14:E14)</x:f>
        <x:v>0</x:v>
      </x:c>
      <x:c r="H14" s="8" t="n">
        <x:v>0</x:v>
      </x:c>
      <x:c r="I14" s="7" t="n">
        <x:f>IF(H14&gt;0,G14/F14,0)</x:f>
        <x:v>0</x:v>
      </x:c>
      <x:c r="J14" s="7" t="n">
        <x:f>IF(H14&gt;0,G14/(H14*365)*100,0)</x:f>
        <x:v>0</x:v>
      </x:c>
      <x:c r="K14" s="3" t="str">
        <x:v>resep/DDD</x:v>
      </x:c>
      <x:c r="L14" s="3" t="n">
        <x:v>0</x:v>
      </x:c>
      <x:c r="M14" s="3" t="n">
        <x:v>27</x:v>
      </x:c>
      <x:c r="N14" s="3" t="n">
        <x:v>4</x:v>
      </x:c>
      <x:c r="O14" s="3" t="n">
        <x:v>400</x:v>
      </x:c>
    </x:row>
    <x:row r="15" ht="34" customHeight="1">
      <x:c r="A15" s="3" t="str">
        <x:v>Radiologi</x:v>
      </x:c>
      <x:c r="B15" s="8" t="n">
        <x:v>57600</x:v>
      </x:c>
      <x:c r="C15" s="8" t="n">
        <x:v>14400</x:v>
      </x:c>
      <x:c r="D15" s="8" t="n">
        <x:v>0</x:v>
      </x:c>
      <x:c r="E15" s="8" t="n">
        <x:v>0</x:v>
      </x:c>
      <x:c r="F15" s="8" t="n">
        <x:f>SUM(B15:C15)</x:f>
        <x:v>72000</x:v>
      </x:c>
      <x:c r="G15" s="8" t="n">
        <x:f>SUM(D15:E15)</x:f>
        <x:v>0</x:v>
      </x:c>
      <x:c r="H15" s="8" t="n">
        <x:v>0</x:v>
      </x:c>
      <x:c r="I15" s="7" t="n">
        <x:f>IF(H15&gt;0,G15/F15,0)</x:f>
        <x:v>0</x:v>
      </x:c>
      <x:c r="J15" s="7" t="n">
        <x:f>IF(H15&gt;0,G15/(H15*365)*100,0)</x:f>
        <x:v>0</x:v>
      </x:c>
      <x:c r="K15" s="3" t="str">
        <x:v>pemeriksaan</x:v>
      </x:c>
      <x:c r="L15" s="3" t="n">
        <x:v>5</x:v>
      </x:c>
      <x:c r="M15" s="3" t="n">
        <x:v>18</x:v>
      </x:c>
      <x:c r="N15" s="3" t="n">
        <x:v>3</x:v>
      </x:c>
      <x:c r="O15" s="3" t="n">
        <x:v>500</x:v>
      </x:c>
    </x:row>
    <x:row r="16" ht="34" customHeight="1">
      <x:c r="A16" s="3" t="str">
        <x:v>Laboratorium</x:v>
      </x:c>
      <x:c r="B16" s="8" t="n">
        <x:v>224000</x:v>
      </x:c>
      <x:c r="C16" s="8" t="n">
        <x:v>56000</x:v>
      </x:c>
      <x:c r="D16" s="8" t="n">
        <x:v>0</x:v>
      </x:c>
      <x:c r="E16" s="8" t="n">
        <x:v>0</x:v>
      </x:c>
      <x:c r="F16" s="8" t="n">
        <x:f>SUM(B16:C16)</x:f>
        <x:v>280000</x:v>
      </x:c>
      <x:c r="G16" s="8" t="n">
        <x:f>SUM(D16:E16)</x:f>
        <x:v>0</x:v>
      </x:c>
      <x:c r="H16" s="8" t="n">
        <x:v>0</x:v>
      </x:c>
      <x:c r="I16" s="7" t="n">
        <x:f>IF(H16&gt;0,G16/F16,0)</x:f>
        <x:v>0</x:v>
      </x:c>
      <x:c r="J16" s="7" t="n">
        <x:f>IF(H16&gt;0,G16/(H16*365)*100,0)</x:f>
        <x:v>0</x:v>
      </x:c>
      <x:c r="K16" s="3" t="str">
        <x:v>tes</x:v>
      </x:c>
      <x:c r="L16" s="3" t="n">
        <x:v>4</x:v>
      </x:c>
      <x:c r="M16" s="3" t="n">
        <x:v>24</x:v>
      </x:c>
      <x:c r="N16" s="3" t="n">
        <x:v>4</x:v>
      </x:c>
      <x:c r="O16" s="3" t="n">
        <x:v>500</x:v>
      </x:c>
    </x:row>
    <x:row r="17" ht="34" customHeight="1">
      <x:c r="A17" s="3" t="str">
        <x:v>Instalasi Rehabilitasi Medik (Penunjang)</x:v>
      </x:c>
      <x:c r="B17" s="8" t="n">
        <x:v>36000</x:v>
      </x:c>
      <x:c r="C17" s="8" t="n">
        <x:v>9000</x:v>
      </x:c>
      <x:c r="D17" s="8" t="n">
        <x:v>0</x:v>
      </x:c>
      <x:c r="E17" s="8" t="n">
        <x:v>0</x:v>
      </x:c>
      <x:c r="F17" s="8" t="n">
        <x:f>SUM(B17:C17)</x:f>
        <x:v>45000</x:v>
      </x:c>
      <x:c r="G17" s="8" t="n">
        <x:f>SUM(D17:E17)</x:f>
        <x:v>0</x:v>
      </x:c>
      <x:c r="H17" s="8" t="n">
        <x:v>0</x:v>
      </x:c>
      <x:c r="I17" s="7" t="n">
        <x:f>IF(H17&gt;0,G17/F17,0)</x:f>
        <x:v>0</x:v>
      </x:c>
      <x:c r="J17" s="7" t="n">
        <x:f>IF(H17&gt;0,G17/(H17*365)*100,0)</x:f>
        <x:v>0</x:v>
      </x:c>
      <x:c r="K17" s="3" t="str">
        <x:v>terapi</x:v>
      </x:c>
      <x:c r="L17" s="3" t="n">
        <x:v>3</x:v>
      </x:c>
      <x:c r="M17" s="3" t="n">
        <x:v>14</x:v>
      </x:c>
      <x:c r="N17" s="3" t="n">
        <x:v>3</x:v>
      </x:c>
      <x:c r="O17" s="3" t="n">
        <x:v>350</x:v>
      </x:c>
    </x:row>
    <x:row r="18" ht="34" customHeight="1">
      <x:c r="A18" s="3" t="str">
        <x:v>Rehabilitasi Psikososial</x:v>
      </x:c>
      <x:c r="B18" s="8" t="n">
        <x:v>14400</x:v>
      </x:c>
      <x:c r="C18" s="8" t="n">
        <x:v>3600</x:v>
      </x:c>
      <x:c r="D18" s="8" t="n">
        <x:v>0</x:v>
      </x:c>
      <x:c r="E18" s="8" t="n">
        <x:v>0</x:v>
      </x:c>
      <x:c r="F18" s="8" t="n">
        <x:f>SUM(B18:C18)</x:f>
        <x:v>18000</x:v>
      </x:c>
      <x:c r="G18" s="8" t="n">
        <x:f>SUM(D18:E18)</x:f>
        <x:v>0</x:v>
      </x:c>
      <x:c r="H18" s="8" t="n">
        <x:v>0</x:v>
      </x:c>
      <x:c r="I18" s="7" t="n">
        <x:f>IF(H18&gt;0,G18/F18,0)</x:f>
        <x:v>0</x:v>
      </x:c>
      <x:c r="J18" s="7" t="n">
        <x:f>IF(H18&gt;0,G18/(H18*365)*100,0)</x:f>
        <x:v>0</x:v>
      </x:c>
      <x:c r="K18" s="3" t="str">
        <x:v>episode</x:v>
      </x:c>
      <x:c r="L18" s="3" t="n">
        <x:v>1</x:v>
      </x:c>
      <x:c r="M18" s="3" t="n">
        <x:v>4</x:v>
      </x:c>
      <x:c r="N18" s="3" t="n">
        <x:v>1</x:v>
      </x:c>
      <x:c r="O18" s="3" t="n">
        <x:v>120</x:v>
      </x:c>
    </x:row>
    <x:row r="19" ht="34" customHeight="1">
      <x:c r="A19" s="3" t="str">
        <x:v>Instalasi Bedah Sentral (IBS)</x:v>
      </x:c>
      <x:c r="B19" s="8" t="n">
        <x:v>19200</x:v>
      </x:c>
      <x:c r="C19" s="8" t="n">
        <x:v>4800</x:v>
      </x:c>
      <x:c r="D19" s="8" t="n">
        <x:v>0</x:v>
      </x:c>
      <x:c r="E19" s="8" t="n">
        <x:v>0</x:v>
      </x:c>
      <x:c r="F19" s="8" t="n">
        <x:f>SUM(B19:C19)</x:f>
        <x:v>24000</x:v>
      </x:c>
      <x:c r="G19" s="8" t="n">
        <x:f>SUM(D19:E19)</x:f>
        <x:v>0</x:v>
      </x:c>
      <x:c r="H19" s="8" t="n">
        <x:v>0</x:v>
      </x:c>
      <x:c r="I19" s="7" t="n">
        <x:f>IF(H19&gt;0,G19/F19,0)</x:f>
        <x:v>0</x:v>
      </x:c>
      <x:c r="J19" s="7" t="n">
        <x:f>IF(H19&gt;0,G19/(H19*365)*100,0)</x:f>
        <x:v>0</x:v>
      </x:c>
      <x:c r="K19" s="3" t="str">
        <x:v>jam operasi</x:v>
      </x:c>
      <x:c r="L19" s="3" t="n">
        <x:v>7</x:v>
      </x:c>
      <x:c r="M19" s="3" t="n">
        <x:v>34</x:v>
      </x:c>
      <x:c r="N19" s="3" t="n">
        <x:v>5</x:v>
      </x:c>
      <x:c r="O19" s="3" t="n">
        <x:v>800</x:v>
      </x:c>
    </x:row>
    <x:row r="20" ht="34" customHeight="1">
      <x:c r="A20" s="3" t="str">
        <x:v>Instalasi Gizi</x:v>
      </x:c>
      <x:c r="B20" s="8" t="n">
        <x:v>69204</x:v>
      </x:c>
      <x:c r="C20" s="8" t="n">
        <x:v>17301</x:v>
      </x:c>
      <x:c r="D20" s="8" t="n">
        <x:v>0</x:v>
      </x:c>
      <x:c r="E20" s="8" t="n">
        <x:v>0</x:v>
      </x:c>
      <x:c r="F20" s="8" t="n">
        <x:f>SUM(B20:C20)</x:f>
        <x:v>86505</x:v>
      </x:c>
      <x:c r="G20" s="8" t="n">
        <x:f>SUM(D20:E20)</x:f>
        <x:v>0</x:v>
      </x:c>
      <x:c r="H20" s="8" t="n">
        <x:v>0</x:v>
      </x:c>
      <x:c r="I20" s="7" t="n">
        <x:f>IF(H20&gt;0,G20/F20,0)</x:f>
        <x:v>0</x:v>
      </x:c>
      <x:c r="J20" s="7" t="n">
        <x:f>IF(H20&gt;0,G20/(H20*365)*100,0)</x:f>
        <x:v>0</x:v>
      </x:c>
      <x:c r="K20" s="3" t="str">
        <x:v>porsi-hari</x:v>
      </x:c>
      <x:c r="L20" s="3" t="n">
        <x:v>0</x:v>
      </x:c>
      <x:c r="M20" s="3" t="n">
        <x:v>11</x:v>
      </x:c>
      <x:c r="N20" s="3" t="n">
        <x:v>2</x:v>
      </x:c>
      <x:c r="O20" s="3" t="n">
        <x:v>400</x:v>
      </x:c>
    </x:row>
    <x:row r="21" ht="34" customHeight="1">
      <x:c r="A21" s="3" t="str">
        <x:v>Laundry Rumah Sakit</x:v>
      </x:c>
      <x:c r="B21" s="8" t="n">
        <x:v>69204</x:v>
      </x:c>
      <x:c r="C21" s="8" t="n">
        <x:v>17301</x:v>
      </x:c>
      <x:c r="D21" s="8" t="n">
        <x:v>0</x:v>
      </x:c>
      <x:c r="E21" s="8" t="n">
        <x:v>0</x:v>
      </x:c>
      <x:c r="F21" s="8" t="n">
        <x:f>SUM(B21:C21)</x:f>
        <x:v>86505</x:v>
      </x:c>
      <x:c r="G21" s="8" t="n">
        <x:f>SUM(D21:E21)</x:f>
        <x:v>0</x:v>
      </x:c>
      <x:c r="H21" s="8" t="n">
        <x:v>0</x:v>
      </x:c>
      <x:c r="I21" s="7" t="n">
        <x:f>IF(H21&gt;0,G21/F21,0)</x:f>
        <x:v>0</x:v>
      </x:c>
      <x:c r="J21" s="7" t="n">
        <x:f>IF(H21&gt;0,G21/(H21*365)*100,0)</x:f>
        <x:v>0</x:v>
      </x:c>
      <x:c r="K21" s="3" t="str">
        <x:v>kg setara-hari</x:v>
      </x:c>
      <x:c r="L21" s="3" t="n">
        <x:v>0</x:v>
      </x:c>
      <x:c r="M21" s="3" t="n">
        <x:v>6</x:v>
      </x:c>
      <x:c r="N21" s="3" t="n">
        <x:v>2</x:v>
      </x:c>
      <x:c r="O21" s="3" t="n">
        <x:v>200</x:v>
      </x:c>
    </x:row>
    <x:row r="22" ht="34" customHeight="1">
      <x:c r="A22" s="3" t="str">
        <x:v>Unit Sterilisasi Alat (CSSD)</x:v>
      </x:c>
      <x:c r="B22" s="8" t="n">
        <x:v>52000</x:v>
      </x:c>
      <x:c r="C22" s="8" t="n">
        <x:v>13000</x:v>
      </x:c>
      <x:c r="D22" s="8" t="n">
        <x:v>0</x:v>
      </x:c>
      <x:c r="E22" s="8" t="n">
        <x:v>0</x:v>
      </x:c>
      <x:c r="F22" s="8" t="n">
        <x:f>SUM(B22:C22)</x:f>
        <x:v>65000</x:v>
      </x:c>
      <x:c r="G22" s="8" t="n">
        <x:f>SUM(D22:E22)</x:f>
        <x:v>0</x:v>
      </x:c>
      <x:c r="H22" s="8" t="n">
        <x:v>0</x:v>
      </x:c>
      <x:c r="I22" s="7" t="n">
        <x:f>IF(H22&gt;0,G22/F22,0)</x:f>
        <x:v>0</x:v>
      </x:c>
      <x:c r="J22" s="7" t="n">
        <x:f>IF(H22&gt;0,G22/(H22*365)*100,0)</x:f>
        <x:v>0</x:v>
      </x:c>
      <x:c r="K22" s="3" t="str">
        <x:v>tindakan</x:v>
      </x:c>
      <x:c r="L22" s="3" t="n">
        <x:v>0</x:v>
      </x:c>
      <x:c r="M22" s="3" t="n">
        <x:v>7</x:v>
      </x:c>
      <x:c r="N22" s="3" t="n">
        <x:v>2</x:v>
      </x:c>
      <x:c r="O22" s="3" t="n">
        <x:v>180</x:v>
      </x:c>
    </x:row>
    <x:row r="23" ht="34" customHeight="1">
      <x:c r="A23" s="3" t="str">
        <x:v>Gas Medis</x:v>
      </x:c>
      <x:c r="B23" s="8" t="n">
        <x:v>30400</x:v>
      </x:c>
      <x:c r="C23" s="8" t="n">
        <x:v>7600</x:v>
      </x:c>
      <x:c r="D23" s="8" t="n">
        <x:v>0</x:v>
      </x:c>
      <x:c r="E23" s="8" t="n">
        <x:v>0</x:v>
      </x:c>
      <x:c r="F23" s="8" t="n">
        <x:f>SUM(B23:C23)</x:f>
        <x:v>38000</x:v>
      </x:c>
      <x:c r="G23" s="8" t="n">
        <x:f>SUM(D23:E23)</x:f>
        <x:v>0</x:v>
      </x:c>
      <x:c r="H23" s="8" t="n">
        <x:v>0</x:v>
      </x:c>
      <x:c r="I23" s="7" t="n">
        <x:f>IF(H23&gt;0,G23/F23,0)</x:f>
        <x:v>0</x:v>
      </x:c>
      <x:c r="J23" s="7" t="n">
        <x:f>IF(H23&gt;0,G23/(H23*365)*100,0)</x:f>
        <x:v>0</x:v>
      </x:c>
      <x:c r="K23" s="3" t="str">
        <x:v>pemakaian</x:v>
      </x:c>
      <x:c r="L23" s="3" t="n">
        <x:v>0</x:v>
      </x:c>
      <x:c r="M23" s="3" t="n">
        <x:v>2</x:v>
      </x:c>
      <x:c r="N23" s="3" t="n">
        <x:v>1</x:v>
      </x:c>
      <x:c r="O23" s="3" t="n">
        <x:v>80</x:v>
      </x:c>
    </x:row>
    <x:row r="24" ht="34" customHeight="1">
      <x:c r="A24" s="3" t="str">
        <x:v>Bank Darah</x:v>
      </x:c>
      <x:c r="B24" s="8" t="n">
        <x:v>12800</x:v>
      </x:c>
      <x:c r="C24" s="8" t="n">
        <x:v>3200</x:v>
      </x:c>
      <x:c r="D24" s="8" t="n">
        <x:v>0</x:v>
      </x:c>
      <x:c r="E24" s="8" t="n">
        <x:v>0</x:v>
      </x:c>
      <x:c r="F24" s="8" t="n">
        <x:f>SUM(B24:C24)</x:f>
        <x:v>16000</x:v>
      </x:c>
      <x:c r="G24" s="8" t="n">
        <x:f>SUM(D24:E24)</x:f>
        <x:v>0</x:v>
      </x:c>
      <x:c r="H24" s="8" t="n">
        <x:v>0</x:v>
      </x:c>
      <x:c r="I24" s="7" t="n">
        <x:f>IF(H24&gt;0,G24/F24,0)</x:f>
        <x:v>0</x:v>
      </x:c>
      <x:c r="J24" s="7" t="n">
        <x:f>IF(H24&gt;0,G24/(H24*365)*100,0)</x:f>
        <x:v>0</x:v>
      </x:c>
      <x:c r="K24" s="3" t="str">
        <x:v>kantong</x:v>
      </x:c>
      <x:c r="L24" s="3" t="n">
        <x:v>2</x:v>
      </x:c>
      <x:c r="M24" s="3" t="n">
        <x:v>7</x:v>
      </x:c>
      <x:c r="N24" s="3" t="n">
        <x:v>2</x:v>
      </x:c>
      <x:c r="O24" s="3" t="n">
        <x:v>120</x:v>
      </x:c>
    </x:row>
    <x:row r="25" ht="34" customHeight="1">
      <x:c r="A25" s="3" t="str">
        <x:v>Bank Jaringan</x:v>
      </x:c>
      <x:c r="B25" s="8" t="n">
        <x:v>2400</x:v>
      </x:c>
      <x:c r="C25" s="8" t="n">
        <x:v>600</x:v>
      </x:c>
      <x:c r="D25" s="8" t="n">
        <x:v>0</x:v>
      </x:c>
      <x:c r="E25" s="8" t="n">
        <x:v>0</x:v>
      </x:c>
      <x:c r="F25" s="8" t="n">
        <x:f>SUM(B25:C25)</x:f>
        <x:v>3000</x:v>
      </x:c>
      <x:c r="G25" s="8" t="n">
        <x:f>SUM(D25:E25)</x:f>
        <x:v>0</x:v>
      </x:c>
      <x:c r="H25" s="8" t="n">
        <x:v>0</x:v>
      </x:c>
      <x:c r="I25" s="7" t="n">
        <x:f>IF(H25&gt;0,G25/F25,0)</x:f>
        <x:v>0</x:v>
      </x:c>
      <x:c r="J25" s="7" t="n">
        <x:f>IF(H25&gt;0,G25/(H25*365)*100,0)</x:f>
        <x:v>0</x:v>
      </x:c>
      <x:c r="K25" s="3" t="str">
        <x:v>paket</x:v>
      </x:c>
      <x:c r="L25" s="3" t="n">
        <x:v>0</x:v>
      </x:c>
      <x:c r="M25" s="3" t="n">
        <x:v>2</x:v>
      </x:c>
      <x:c r="N25" s="3" t="n">
        <x:v>1</x:v>
      </x:c>
      <x:c r="O25" s="3" t="n">
        <x:v>60</x:v>
      </x:c>
    </x:row>
    <x:row r="26" ht="34" customHeight="1">
      <x:c r="A26" s="3" t="str">
        <x:v>Kamar Rawat Inap Standar (KRIS) C</x:v>
      </x:c>
      <x:c r="B26" s="8" t="n">
        <x:v>7884</x:v>
      </x:c>
      <x:c r="C26" s="8" t="n">
        <x:v>876</x:v>
      </x:c>
      <x:c r="D26" s="8" t="n">
        <x:v>39420</x:v>
      </x:c>
      <x:c r="E26" s="8" t="n">
        <x:v>4380</x:v>
      </x:c>
      <x:c r="F26" s="8" t="n">
        <x:f>SUM(B26:C26)</x:f>
        <x:v>8760</x:v>
      </x:c>
      <x:c r="G26" s="8" t="n">
        <x:f>SUM(D26:E26)</x:f>
        <x:v>43800</x:v>
      </x:c>
      <x:c r="H26" s="8" t="n">
        <x:v>150</x:v>
      </x:c>
      <x:c r="I26" s="7" t="n">
        <x:f>IF(H26&gt;0,G26/F26,0)</x:f>
        <x:v>5</x:v>
      </x:c>
      <x:c r="J26" s="7" t="n">
        <x:f>IF(H26&gt;0,G26/(H26*365)*100,0)</x:f>
        <x:v>80</x:v>
      </x:c>
      <x:c r="K26" s="3" t="str">
        <x:v>hari rawat</x:v>
      </x:c>
      <x:c r="L26" s="3" t="n">
        <x:v>4</x:v>
      </x:c>
      <x:c r="M26" s="3" t="n">
        <x:v>70</x:v>
      </x:c>
      <x:c r="N26" s="3" t="n">
        <x:v>3</x:v>
      </x:c>
      <x:c r="O26" s="3" t="n">
        <x:v>1500</x:v>
      </x:c>
    </x:row>
    <x:row r="27" ht="34" customHeight="1">
      <x:c r="A27" s="3" t="str">
        <x:v>Kamar Rawat Inap Standar (KRIS) B</x:v>
      </x:c>
      <x:c r="B27" s="8" t="n">
        <x:v>4599</x:v>
      </x:c>
      <x:c r="C27" s="8" t="n">
        <x:v>511</x:v>
      </x:c>
      <x:c r="D27" s="8" t="n">
        <x:v>18396</x:v>
      </x:c>
      <x:c r="E27" s="8" t="n">
        <x:v>2044</x:v>
      </x:c>
      <x:c r="F27" s="8" t="n">
        <x:f>SUM(B27:C27)</x:f>
        <x:v>5110</x:v>
      </x:c>
      <x:c r="G27" s="8" t="n">
        <x:f>SUM(D27:E27)</x:f>
        <x:v>20440</x:v>
      </x:c>
      <x:c r="H27" s="8" t="n">
        <x:v>70</x:v>
      </x:c>
      <x:c r="I27" s="7" t="n">
        <x:f>IF(H27&gt;0,G27/F27,0)</x:f>
        <x:v>4</x:v>
      </x:c>
      <x:c r="J27" s="7" t="n">
        <x:f>IF(H27&gt;0,G27/(H27*365)*100,0)</x:f>
        <x:v>80</x:v>
      </x:c>
      <x:c r="K27" s="3" t="str">
        <x:v>hari rawat</x:v>
      </x:c>
      <x:c r="L27" s="3" t="n">
        <x:v>2</x:v>
      </x:c>
      <x:c r="M27" s="3" t="n">
        <x:v>35</x:v>
      </x:c>
      <x:c r="N27" s="3" t="n">
        <x:v>3</x:v>
      </x:c>
      <x:c r="O27" s="3" t="n">
        <x:v>840</x:v>
      </x:c>
    </x:row>
    <x:row r="28" ht="34" customHeight="1">
      <x:c r="A28" s="3" t="str">
        <x:v>Kamar Rawat Inap Standar (KRIS) A</x:v>
      </x:c>
      <x:c r="B28" s="8" t="n">
        <x:v>2482</x:v>
      </x:c>
      <x:c r="C28" s="8" t="n">
        <x:v>438</x:v>
      </x:c>
      <x:c r="D28" s="8" t="n">
        <x:v>9928</x:v>
      </x:c>
      <x:c r="E28" s="8" t="n">
        <x:v>1752</x:v>
      </x:c>
      <x:c r="F28" s="8" t="n">
        <x:f>SUM(B28:C28)</x:f>
        <x:v>2920</x:v>
      </x:c>
      <x:c r="G28" s="8" t="n">
        <x:f>SUM(D28:E28)</x:f>
        <x:v>11680</x:v>
      </x:c>
      <x:c r="H28" s="8" t="n">
        <x:v>40</x:v>
      </x:c>
      <x:c r="I28" s="7" t="n">
        <x:f>IF(H28&gt;0,G28/F28,0)</x:f>
        <x:v>4</x:v>
      </x:c>
      <x:c r="J28" s="7" t="n">
        <x:f>IF(H28&gt;0,G28/(H28*365)*100,0)</x:f>
        <x:v>80</x:v>
      </x:c>
      <x:c r="K28" s="3" t="str">
        <x:v>hari rawat</x:v>
      </x:c>
      <x:c r="L28" s="3" t="n">
        <x:v>2</x:v>
      </x:c>
      <x:c r="M28" s="3" t="n">
        <x:v>25</x:v>
      </x:c>
      <x:c r="N28" s="3" t="n">
        <x:v>3</x:v>
      </x:c>
      <x:c r="O28" s="3" t="n">
        <x:v>560</x:v>
      </x:c>
    </x:row>
    <x:row r="29" ht="34" customHeight="1">
      <x:c r="A29" s="3" t="str">
        <x:v>Kamar VIP/VVIP/Suite</x:v>
      </x:c>
      <x:c r="B29" s="8" t="n">
        <x:v>1095</x:v>
      </x:c>
      <x:c r="C29" s="8" t="n">
        <x:v>730</x:v>
      </x:c>
      <x:c r="D29" s="8" t="n">
        <x:v>3285</x:v>
      </x:c>
      <x:c r="E29" s="8" t="n">
        <x:v>2190</x:v>
      </x:c>
      <x:c r="F29" s="8" t="n">
        <x:f>SUM(B29:C29)</x:f>
        <x:v>1825</x:v>
      </x:c>
      <x:c r="G29" s="8" t="n">
        <x:f>SUM(D29:E29)</x:f>
        <x:v>5475</x:v>
      </x:c>
      <x:c r="H29" s="8" t="n">
        <x:v>20</x:v>
      </x:c>
      <x:c r="I29" s="7" t="n">
        <x:f>IF(H29&gt;0,G29/F29,0)</x:f>
        <x:v>3</x:v>
      </x:c>
      <x:c r="J29" s="7" t="n">
        <x:f>IF(H29&gt;0,G29/(H29*365)*100,0)</x:f>
        <x:v>75</x:v>
      </x:c>
      <x:c r="K29" s="3" t="str">
        <x:v>hari rawat</x:v>
      </x:c>
      <x:c r="L29" s="3" t="n">
        <x:v>2</x:v>
      </x:c>
      <x:c r="M29" s="3" t="n">
        <x:v>14</x:v>
      </x:c>
      <x:c r="N29" s="3" t="n">
        <x:v>3</x:v>
      </x:c>
      <x:c r="O29" s="3" t="n">
        <x:v>400</x:v>
      </x:c>
    </x:row>
    <x:row r="30" ht="34" customHeight="1">
      <x:c r="A30" s="3" t="str">
        <x:v>Kamar ICU/ICCU/NICU/PICU/HCU</x:v>
      </x:c>
      <x:c r="B30" s="8" t="n">
        <x:v>657</x:v>
      </x:c>
      <x:c r="C30" s="8" t="n">
        <x:v>73</x:v>
      </x:c>
      <x:c r="D30" s="8" t="n">
        <x:v>4599</x:v>
      </x:c>
      <x:c r="E30" s="8" t="n">
        <x:v>511</x:v>
      </x:c>
      <x:c r="F30" s="8" t="n">
        <x:f>SUM(B30:C30)</x:f>
        <x:v>730</x:v>
      </x:c>
      <x:c r="G30" s="8" t="n">
        <x:f>SUM(D30:E30)</x:f>
        <x:v>5110</x:v>
      </x:c>
      <x:c r="H30" s="8" t="n">
        <x:v>20</x:v>
      </x:c>
      <x:c r="I30" s="7" t="n">
        <x:f>IF(H30&gt;0,G30/F30,0)</x:f>
        <x:v>7</x:v>
      </x:c>
      <x:c r="J30" s="7" t="n">
        <x:f>IF(H30&gt;0,G30/(H30*365)*100,0)</x:f>
        <x:v>70</x:v>
      </x:c>
      <x:c r="K30" s="3" t="str">
        <x:v>hari rawat</x:v>
      </x:c>
      <x:c r="L30" s="3" t="n">
        <x:v>5</x:v>
      </x:c>
      <x:c r="M30" s="3" t="n">
        <x:v>48</x:v>
      </x:c>
      <x:c r="N30" s="3" t="n">
        <x:v>3</x:v>
      </x:c>
      <x:c r="O30" s="3" t="n">
        <x:v>480</x:v>
      </x:c>
    </x:row>
    <x:row r="31" ht="34" customHeight="1">
      <x:c r="A31" s="3" t="str">
        <x:v>Instalasi Gawat Darurat (IGD)</x:v>
      </x:c>
      <x:c r="B31" s="8" t="n">
        <x:v>33600</x:v>
      </x:c>
      <x:c r="C31" s="8" t="n">
        <x:v>8400</x:v>
      </x:c>
      <x:c r="D31" s="8" t="n">
        <x:v>0</x:v>
      </x:c>
      <x:c r="E31" s="8" t="n">
        <x:v>0</x:v>
      </x:c>
      <x:c r="F31" s="8" t="n">
        <x:f>SUM(B31:C31)</x:f>
        <x:v>42000</x:v>
      </x:c>
      <x:c r="G31" s="8" t="n">
        <x:f>SUM(D31:E31)</x:f>
        <x:v>0</x:v>
      </x:c>
      <x:c r="H31" s="8" t="n">
        <x:v>0</x:v>
      </x:c>
      <x:c r="I31" s="7" t="n">
        <x:f>IF(H31&gt;0,G31/F31,0)</x:f>
        <x:v>0</x:v>
      </x:c>
      <x:c r="J31" s="7" t="n">
        <x:f>IF(H31&gt;0,G31/(H31*365)*100,0)</x:f>
        <x:v>0</x:v>
      </x:c>
      <x:c r="K31" s="3" t="str">
        <x:v>kunjungan</x:v>
      </x:c>
      <x:c r="L31" s="3" t="n">
        <x:v>8</x:v>
      </x:c>
      <x:c r="M31" s="3" t="n">
        <x:v>31</x:v>
      </x:c>
      <x:c r="N31" s="3" t="n">
        <x:v>2</x:v>
      </x:c>
      <x:c r="O31" s="3" t="n">
        <x:v>600</x:v>
      </x:c>
    </x:row>
    <x:row r="32" ht="34" customHeight="1">
      <x:c r="A32" s="3" t="str">
        <x:v>Neoplasma dan Myeloproliferative</x:v>
      </x:c>
      <x:c r="B32" s="8" t="n">
        <x:v>28800</x:v>
      </x:c>
      <x:c r="C32" s="8" t="n">
        <x:v>7200</x:v>
      </x:c>
      <x:c r="D32" s="8" t="n">
        <x:v>0</x:v>
      </x:c>
      <x:c r="E32" s="8" t="n">
        <x:v>0</x:v>
      </x:c>
      <x:c r="F32" s="8" t="n">
        <x:f>SUM(B32:C32)</x:f>
        <x:v>36000</x:v>
      </x:c>
      <x:c r="G32" s="8" t="n">
        <x:f>SUM(D32:E32)</x:f>
        <x:v>0</x:v>
      </x:c>
      <x:c r="H32" s="8" t="n">
        <x:v>0</x:v>
      </x:c>
      <x:c r="I32" s="7" t="n">
        <x:f>IF(H32&gt;0,G32/F32,0)</x:f>
        <x:v>0</x:v>
      </x:c>
      <x:c r="J32" s="7" t="n">
        <x:f>IF(H32&gt;0,G32/(H32*365)*100,0)</x:f>
        <x:v>0</x:v>
      </x:c>
      <x:c r="K32" s="3" t="str">
        <x:v>kunjungan</x:v>
      </x:c>
      <x:c r="L32" s="3" t="n">
        <x:v>5</x:v>
      </x:c>
      <x:c r="M32" s="3" t="n">
        <x:v>18</x:v>
      </x:c>
      <x:c r="N32" s="3" t="n">
        <x:v>2</x:v>
      </x:c>
      <x:c r="O32" s="3" t="n">
        <x:v>188</x:v>
      </x:c>
    </x:row>
    <x:row r="33" ht="34" customHeight="1">
      <x:c r="A33" s="3" t="str">
        <x:v>Jantung dan Pembuluh Darah</x:v>
      </x:c>
      <x:c r="B33" s="8" t="n">
        <x:v>25600</x:v>
      </x:c>
      <x:c r="C33" s="8" t="n">
        <x:v>6400</x:v>
      </x:c>
      <x:c r="D33" s="8" t="n">
        <x:v>0</x:v>
      </x:c>
      <x:c r="E33" s="8" t="n">
        <x:v>0</x:v>
      </x:c>
      <x:c r="F33" s="8" t="n">
        <x:f>SUM(B33:C33)</x:f>
        <x:v>32000</x:v>
      </x:c>
      <x:c r="G33" s="8" t="n">
        <x:f>SUM(D33:E33)</x:f>
        <x:v>0</x:v>
      </x:c>
      <x:c r="H33" s="8" t="n">
        <x:v>0</x:v>
      </x:c>
      <x:c r="I33" s="7" t="n">
        <x:f>IF(H33&gt;0,G33/F33,0)</x:f>
        <x:v>0</x:v>
      </x:c>
      <x:c r="J33" s="7" t="n">
        <x:f>IF(H33&gt;0,G33/(H33*365)*100,0)</x:f>
        <x:v>0</x:v>
      </x:c>
      <x:c r="K33" s="3" t="str">
        <x:v>kunjungan</x:v>
      </x:c>
      <x:c r="L33" s="3" t="n">
        <x:v>5</x:v>
      </x:c>
      <x:c r="M33" s="3" t="n">
        <x:v>16</x:v>
      </x:c>
      <x:c r="N33" s="3" t="n">
        <x:v>2</x:v>
      </x:c>
      <x:c r="O33" s="3" t="n">
        <x:v>176</x:v>
      </x:c>
    </x:row>
    <x:row r="34" ht="34" customHeight="1">
      <x:c r="A34" s="3" t="str">
        <x:v>Saraf / Neuroscience</x:v>
      </x:c>
      <x:c r="B34" s="8" t="n">
        <x:v>14400</x:v>
      </x:c>
      <x:c r="C34" s="8" t="n">
        <x:v>3600</x:v>
      </x:c>
      <x:c r="D34" s="8" t="n">
        <x:v>0</x:v>
      </x:c>
      <x:c r="E34" s="8" t="n">
        <x:v>0</x:v>
      </x:c>
      <x:c r="F34" s="8" t="n">
        <x:f>SUM(B34:C34)</x:f>
        <x:v>18000</x:v>
      </x:c>
      <x:c r="G34" s="8" t="n">
        <x:f>SUM(D34:E34)</x:f>
        <x:v>0</x:v>
      </x:c>
      <x:c r="H34" s="8" t="n">
        <x:v>0</x:v>
      </x:c>
      <x:c r="I34" s="7" t="n">
        <x:f>IF(H34&gt;0,G34/F34,0)</x:f>
        <x:v>0</x:v>
      </x:c>
      <x:c r="J34" s="7" t="n">
        <x:f>IF(H34&gt;0,G34/(H34*365)*100,0)</x:f>
        <x:v>0</x:v>
      </x:c>
      <x:c r="K34" s="3" t="str">
        <x:v>kunjungan</x:v>
      </x:c>
      <x:c r="L34" s="3" t="n">
        <x:v>3</x:v>
      </x:c>
      <x:c r="M34" s="3" t="n">
        <x:v>10</x:v>
      </x:c>
      <x:c r="N34" s="3" t="n">
        <x:v>2</x:v>
      </x:c>
      <x:c r="O34" s="3" t="n">
        <x:v>134</x:v>
      </x:c>
    </x:row>
    <x:row r="35" ht="34" customHeight="1">
      <x:c r="A35" s="3" t="str">
        <x:v>Kesehatan Ibu dan Ginekologi</x:v>
      </x:c>
      <x:c r="B35" s="8" t="n">
        <x:v>12800</x:v>
      </x:c>
      <x:c r="C35" s="8" t="n">
        <x:v>3200</x:v>
      </x:c>
      <x:c r="D35" s="8" t="n">
        <x:v>0</x:v>
      </x:c>
      <x:c r="E35" s="8" t="n">
        <x:v>0</x:v>
      </x:c>
      <x:c r="F35" s="8" t="n">
        <x:f>SUM(B35:C35)</x:f>
        <x:v>16000</x:v>
      </x:c>
      <x:c r="G35" s="8" t="n">
        <x:f>SUM(D35:E35)</x:f>
        <x:v>0</x:v>
      </x:c>
      <x:c r="H35" s="8" t="n">
        <x:v>0</x:v>
      </x:c>
      <x:c r="I35" s="7" t="n">
        <x:f>IF(H35&gt;0,G35/F35,0)</x:f>
        <x:v>0</x:v>
      </x:c>
      <x:c r="J35" s="7" t="n">
        <x:f>IF(H35&gt;0,G35/(H35*365)*100,0)</x:f>
        <x:v>0</x:v>
      </x:c>
      <x:c r="K35" s="3" t="str">
        <x:v>kunjungan</x:v>
      </x:c>
      <x:c r="L35" s="3" t="n">
        <x:v>3</x:v>
      </x:c>
      <x:c r="M35" s="3" t="n">
        <x:v>9</x:v>
      </x:c>
      <x:c r="N35" s="3" t="n">
        <x:v>2</x:v>
      </x:c>
      <x:c r="O35" s="3" t="n">
        <x:v>128</x:v>
      </x:c>
    </x:row>
    <x:row r="36" ht="34" customHeight="1">
      <x:c r="A36" s="3" t="str">
        <x:v>Kesehatan Neonatus</x:v>
      </x:c>
      <x:c r="B36" s="8" t="n">
        <x:v>8000</x:v>
      </x:c>
      <x:c r="C36" s="8" t="n">
        <x:v>2000</x:v>
      </x:c>
      <x:c r="D36" s="8" t="n">
        <x:v>0</x:v>
      </x:c>
      <x:c r="E36" s="8" t="n">
        <x:v>0</x:v>
      </x:c>
      <x:c r="F36" s="8" t="n">
        <x:f>SUM(B36:C36)</x:f>
        <x:v>10000</x:v>
      </x:c>
      <x:c r="G36" s="8" t="n">
        <x:f>SUM(D36:E36)</x:f>
        <x:v>0</x:v>
      </x:c>
      <x:c r="H36" s="8" t="n">
        <x:v>0</x:v>
      </x:c>
      <x:c r="I36" s="7" t="n">
        <x:f>IF(H36&gt;0,G36/F36,0)</x:f>
        <x:v>0</x:v>
      </x:c>
      <x:c r="J36" s="7" t="n">
        <x:f>IF(H36&gt;0,G36/(H36*365)*100,0)</x:f>
        <x:v>0</x:v>
      </x:c>
      <x:c r="K36" s="3" t="str">
        <x:v>kunjungan</x:v>
      </x:c>
      <x:c r="L36" s="3" t="n">
        <x:v>2</x:v>
      </x:c>
      <x:c r="M36" s="3" t="n">
        <x:v>6</x:v>
      </x:c>
      <x:c r="N36" s="3" t="n">
        <x:v>2</x:v>
      </x:c>
      <x:c r="O36" s="3" t="n">
        <x:v>110</x:v>
      </x:c>
    </x:row>
    <x:row r="37" ht="34" customHeight="1">
      <x:c r="A37" s="3" t="str">
        <x:v>Sistem Pencernaan dan Hepatobiliar</x:v>
      </x:c>
      <x:c r="B37" s="8" t="n">
        <x:v>20800</x:v>
      </x:c>
      <x:c r="C37" s="8" t="n">
        <x:v>5200</x:v>
      </x:c>
      <x:c r="D37" s="8" t="n">
        <x:v>0</x:v>
      </x:c>
      <x:c r="E37" s="8" t="n">
        <x:v>0</x:v>
      </x:c>
      <x:c r="F37" s="8" t="n">
        <x:f>SUM(B37:C37)</x:f>
        <x:v>26000</x:v>
      </x:c>
      <x:c r="G37" s="8" t="n">
        <x:f>SUM(D37:E37)</x:f>
        <x:v>0</x:v>
      </x:c>
      <x:c r="H37" s="8" t="n">
        <x:v>0</x:v>
      </x:c>
      <x:c r="I37" s="7" t="n">
        <x:f>IF(H37&gt;0,G37/F37,0)</x:f>
        <x:v>0</x:v>
      </x:c>
      <x:c r="J37" s="7" t="n">
        <x:f>IF(H37&gt;0,G37/(H37*365)*100,0)</x:f>
        <x:v>0</x:v>
      </x:c>
      <x:c r="K37" s="3" t="str">
        <x:v>kunjungan</x:v>
      </x:c>
      <x:c r="L37" s="3" t="n">
        <x:v>4</x:v>
      </x:c>
      <x:c r="M37" s="3" t="n">
        <x:v>13</x:v>
      </x:c>
      <x:c r="N37" s="3" t="n">
        <x:v>2</x:v>
      </x:c>
      <x:c r="O37" s="3" t="n">
        <x:v>158</x:v>
      </x:c>
    </x:row>
    <x:row r="38" ht="34" customHeight="1">
      <x:c r="A38" s="3" t="str">
        <x:v>Uronefro (Urologi dan Nefrologi)</x:v>
      </x:c>
      <x:c r="B38" s="8" t="n">
        <x:v>19200</x:v>
      </x:c>
      <x:c r="C38" s="8" t="n">
        <x:v>4800</x:v>
      </x:c>
      <x:c r="D38" s="8" t="n">
        <x:v>0</x:v>
      </x:c>
      <x:c r="E38" s="8" t="n">
        <x:v>0</x:v>
      </x:c>
      <x:c r="F38" s="8" t="n">
        <x:f>SUM(B38:C38)</x:f>
        <x:v>24000</x:v>
      </x:c>
      <x:c r="G38" s="8" t="n">
        <x:f>SUM(D38:E38)</x:f>
        <x:v>0</x:v>
      </x:c>
      <x:c r="H38" s="8" t="n">
        <x:v>0</x:v>
      </x:c>
      <x:c r="I38" s="7" t="n">
        <x:f>IF(H38&gt;0,G38/F38,0)</x:f>
        <x:v>0</x:v>
      </x:c>
      <x:c r="J38" s="7" t="n">
        <x:f>IF(H38&gt;0,G38/(H38*365)*100,0)</x:f>
        <x:v>0</x:v>
      </x:c>
      <x:c r="K38" s="3" t="str">
        <x:v>kunjungan</x:v>
      </x:c>
      <x:c r="L38" s="3" t="n">
        <x:v>4</x:v>
      </x:c>
      <x:c r="M38" s="3" t="n">
        <x:v>12</x:v>
      </x:c>
      <x:c r="N38" s="3" t="n">
        <x:v>2</x:v>
      </x:c>
      <x:c r="O38" s="3" t="n">
        <x:v>152</x:v>
      </x:c>
    </x:row>
    <x:row r="39" ht="34" customHeight="1">
      <x:c r="A39" s="3" t="str">
        <x:v>Musculoskeletal dan Jaringan Lunak</x:v>
      </x:c>
      <x:c r="B39" s="8" t="n">
        <x:v>14400</x:v>
      </x:c>
      <x:c r="C39" s="8" t="n">
        <x:v>3600</x:v>
      </x:c>
      <x:c r="D39" s="8" t="n">
        <x:v>0</x:v>
      </x:c>
      <x:c r="E39" s="8" t="n">
        <x:v>0</x:v>
      </x:c>
      <x:c r="F39" s="8" t="n">
        <x:f>SUM(B39:C39)</x:f>
        <x:v>18000</x:v>
      </x:c>
      <x:c r="G39" s="8" t="n">
        <x:f>SUM(D39:E39)</x:f>
        <x:v>0</x:v>
      </x:c>
      <x:c r="H39" s="8" t="n">
        <x:v>0</x:v>
      </x:c>
      <x:c r="I39" s="7" t="n">
        <x:f>IF(H39&gt;0,G39/F39,0)</x:f>
        <x:v>0</x:v>
      </x:c>
      <x:c r="J39" s="7" t="n">
        <x:f>IF(H39&gt;0,G39/(H39*365)*100,0)</x:f>
        <x:v>0</x:v>
      </x:c>
      <x:c r="K39" s="3" t="str">
        <x:v>kunjungan</x:v>
      </x:c>
      <x:c r="L39" s="3" t="n">
        <x:v>3</x:v>
      </x:c>
      <x:c r="M39" s="3" t="n">
        <x:v>10</x:v>
      </x:c>
      <x:c r="N39" s="3" t="n">
        <x:v>2</x:v>
      </x:c>
      <x:c r="O39" s="3" t="n">
        <x:v>134</x:v>
      </x:c>
    </x:row>
    <x:row r="40" ht="34" customHeight="1">
      <x:c r="A40" s="3" t="str">
        <x:v>Rekonstruksi dan Estetika</x:v>
      </x:c>
      <x:c r="B40" s="8" t="n">
        <x:v>7200</x:v>
      </x:c>
      <x:c r="C40" s="8" t="n">
        <x:v>1800</x:v>
      </x:c>
      <x:c r="D40" s="8" t="n">
        <x:v>0</x:v>
      </x:c>
      <x:c r="E40" s="8" t="n">
        <x:v>0</x:v>
      </x:c>
      <x:c r="F40" s="8" t="n">
        <x:f>SUM(B40:C40)</x:f>
        <x:v>9000</x:v>
      </x:c>
      <x:c r="G40" s="8" t="n">
        <x:f>SUM(D40:E40)</x:f>
        <x:v>0</x:v>
      </x:c>
      <x:c r="H40" s="8" t="n">
        <x:v>0</x:v>
      </x:c>
      <x:c r="I40" s="7" t="n">
        <x:f>IF(H40&gt;0,G40/F40,0)</x:f>
        <x:v>0</x:v>
      </x:c>
      <x:c r="J40" s="7" t="n">
        <x:f>IF(H40&gt;0,G40/(H40*365)*100,0)</x:f>
        <x:v>0</x:v>
      </x:c>
      <x:c r="K40" s="3" t="str">
        <x:v>kunjungan</x:v>
      </x:c>
      <x:c r="L40" s="3" t="n">
        <x:v>2</x:v>
      </x:c>
      <x:c r="M40" s="3" t="n">
        <x:v>5</x:v>
      </x:c>
      <x:c r="N40" s="3" t="n">
        <x:v>2</x:v>
      </x:c>
      <x:c r="O40" s="3" t="n">
        <x:v>107</x:v>
      </x:c>
    </x:row>
    <x:row r="41" ht="34" customHeight="1">
      <x:c r="A41" s="3" t="str">
        <x:v>Trauma</x:v>
      </x:c>
      <x:c r="B41" s="8" t="n">
        <x:v>9600</x:v>
      </x:c>
      <x:c r="C41" s="8" t="n">
        <x:v>2400</x:v>
      </x:c>
      <x:c r="D41" s="8" t="n">
        <x:v>0</x:v>
      </x:c>
      <x:c r="E41" s="8" t="n">
        <x:v>0</x:v>
      </x:c>
      <x:c r="F41" s="8" t="n">
        <x:f>SUM(B41:C41)</x:f>
        <x:v>12000</x:v>
      </x:c>
      <x:c r="G41" s="8" t="n">
        <x:f>SUM(D41:E41)</x:f>
        <x:v>0</x:v>
      </x:c>
      <x:c r="H41" s="8" t="n">
        <x:v>0</x:v>
      </x:c>
      <x:c r="I41" s="7" t="n">
        <x:f>IF(H41&gt;0,G41/F41,0)</x:f>
        <x:v>0</x:v>
      </x:c>
      <x:c r="J41" s="7" t="n">
        <x:f>IF(H41&gt;0,G41/(H41*365)*100,0)</x:f>
        <x:v>0</x:v>
      </x:c>
      <x:c r="K41" s="3" t="str">
        <x:v>kunjungan</x:v>
      </x:c>
      <x:c r="L41" s="3" t="n">
        <x:v>2</x:v>
      </x:c>
      <x:c r="M41" s="3" t="n">
        <x:v>7</x:v>
      </x:c>
      <x:c r="N41" s="3" t="n">
        <x:v>2</x:v>
      </x:c>
      <x:c r="O41" s="3" t="n">
        <x:v>116</x:v>
      </x:c>
    </x:row>
    <x:row r="42" ht="34" customHeight="1">
      <x:c r="A42" s="3" t="str">
        <x:v>Paru</x:v>
      </x:c>
      <x:c r="B42" s="8" t="n">
        <x:v>12000</x:v>
      </x:c>
      <x:c r="C42" s="8" t="n">
        <x:v>3000</x:v>
      </x:c>
      <x:c r="D42" s="8" t="n">
        <x:v>0</x:v>
      </x:c>
      <x:c r="E42" s="8" t="n">
        <x:v>0</x:v>
      </x:c>
      <x:c r="F42" s="8" t="n">
        <x:f>SUM(B42:C42)</x:f>
        <x:v>15000</x:v>
      </x:c>
      <x:c r="G42" s="8" t="n">
        <x:f>SUM(D42:E42)</x:f>
        <x:v>0</x:v>
      </x:c>
      <x:c r="H42" s="8" t="n">
        <x:v>0</x:v>
      </x:c>
      <x:c r="I42" s="7" t="n">
        <x:f>IF(H42&gt;0,G42/F42,0)</x:f>
        <x:v>0</x:v>
      </x:c>
      <x:c r="J42" s="7" t="n">
        <x:f>IF(H42&gt;0,G42/(H42*365)*100,0)</x:f>
        <x:v>0</x:v>
      </x:c>
      <x:c r="K42" s="3" t="str">
        <x:v>kunjungan</x:v>
      </x:c>
      <x:c r="L42" s="3" t="n">
        <x:v>3</x:v>
      </x:c>
      <x:c r="M42" s="3" t="n">
        <x:v>8</x:v>
      </x:c>
      <x:c r="N42" s="3" t="n">
        <x:v>2</x:v>
      </x:c>
      <x:c r="O42" s="3" t="n">
        <x:v>125</x:v>
      </x:c>
    </x:row>
    <x:row r="43" ht="34" customHeight="1">
      <x:c r="A43" s="3" t="str">
        <x:v>THT (Telinga, Hidung, Tenggorokan)</x:v>
      </x:c>
      <x:c r="B43" s="8" t="n">
        <x:v>11200</x:v>
      </x:c>
      <x:c r="C43" s="8" t="n">
        <x:v>2800</x:v>
      </x:c>
      <x:c r="D43" s="8" t="n">
        <x:v>0</x:v>
      </x:c>
      <x:c r="E43" s="8" t="n">
        <x:v>0</x:v>
      </x:c>
      <x:c r="F43" s="8" t="n">
        <x:f>SUM(B43:C43)</x:f>
        <x:v>14000</x:v>
      </x:c>
      <x:c r="G43" s="8" t="n">
        <x:f>SUM(D43:E43)</x:f>
        <x:v>0</x:v>
      </x:c>
      <x:c r="H43" s="8" t="n">
        <x:v>0</x:v>
      </x:c>
      <x:c r="I43" s="7" t="n">
        <x:f>IF(H43&gt;0,G43/F43,0)</x:f>
        <x:v>0</x:v>
      </x:c>
      <x:c r="J43" s="7" t="n">
        <x:f>IF(H43&gt;0,G43/(H43*365)*100,0)</x:f>
        <x:v>0</x:v>
      </x:c>
      <x:c r="K43" s="3" t="str">
        <x:v>kunjungan</x:v>
      </x:c>
      <x:c r="L43" s="3" t="n">
        <x:v>3</x:v>
      </x:c>
      <x:c r="M43" s="3" t="n">
        <x:v>8</x:v>
      </x:c>
      <x:c r="N43" s="3" t="n">
        <x:v>2</x:v>
      </x:c>
      <x:c r="O43" s="3" t="n">
        <x:v>122</x:v>
      </x:c>
    </x:row>
    <x:row r="44" ht="34" customHeight="1">
      <x:c r="A44" s="3" t="str">
        <x:v>Mata</x:v>
      </x:c>
      <x:c r="B44" s="8" t="n">
        <x:v>12800</x:v>
      </x:c>
      <x:c r="C44" s="8" t="n">
        <x:v>3200</x:v>
      </x:c>
      <x:c r="D44" s="8" t="n">
        <x:v>0</x:v>
      </x:c>
      <x:c r="E44" s="8" t="n">
        <x:v>0</x:v>
      </x:c>
      <x:c r="F44" s="8" t="n">
        <x:f>SUM(B44:C44)</x:f>
        <x:v>16000</x:v>
      </x:c>
      <x:c r="G44" s="8" t="n">
        <x:f>SUM(D44:E44)</x:f>
        <x:v>0</x:v>
      </x:c>
      <x:c r="H44" s="8" t="n">
        <x:v>0</x:v>
      </x:c>
      <x:c r="I44" s="7" t="n">
        <x:f>IF(H44&gt;0,G44/F44,0)</x:f>
        <x:v>0</x:v>
      </x:c>
      <x:c r="J44" s="7" t="n">
        <x:f>IF(H44&gt;0,G44/(H44*365)*100,0)</x:f>
        <x:v>0</x:v>
      </x:c>
      <x:c r="K44" s="3" t="str">
        <x:v>kunjungan</x:v>
      </x:c>
      <x:c r="L44" s="3" t="n">
        <x:v>3</x:v>
      </x:c>
      <x:c r="M44" s="3" t="n">
        <x:v>9</x:v>
      </x:c>
      <x:c r="N44" s="3" t="n">
        <x:v>2</x:v>
      </x:c>
      <x:c r="O44" s="3" t="n">
        <x:v>128</x:v>
      </x:c>
    </x:row>
    <x:row r="45" ht="34" customHeight="1">
      <x:c r="A45" s="3" t="str">
        <x:v>Kulit dan Kelamin</x:v>
      </x:c>
      <x:c r="B45" s="8" t="n">
        <x:v>12000</x:v>
      </x:c>
      <x:c r="C45" s="8" t="n">
        <x:v>3000</x:v>
      </x:c>
      <x:c r="D45" s="8" t="n">
        <x:v>0</x:v>
      </x:c>
      <x:c r="E45" s="8" t="n">
        <x:v>0</x:v>
      </x:c>
      <x:c r="F45" s="8" t="n">
        <x:f>SUM(B45:C45)</x:f>
        <x:v>15000</x:v>
      </x:c>
      <x:c r="G45" s="8" t="n">
        <x:f>SUM(D45:E45)</x:f>
        <x:v>0</x:v>
      </x:c>
      <x:c r="H45" s="8" t="n">
        <x:v>0</x:v>
      </x:c>
      <x:c r="I45" s="7" t="n">
        <x:f>IF(H45&gt;0,G45/F45,0)</x:f>
        <x:v>0</x:v>
      </x:c>
      <x:c r="J45" s="7" t="n">
        <x:f>IF(H45&gt;0,G45/(H45*365)*100,0)</x:f>
        <x:v>0</x:v>
      </x:c>
      <x:c r="K45" s="3" t="str">
        <x:v>kunjungan</x:v>
      </x:c>
      <x:c r="L45" s="3" t="n">
        <x:v>3</x:v>
      </x:c>
      <x:c r="M45" s="3" t="n">
        <x:v>8</x:v>
      </x:c>
      <x:c r="N45" s="3" t="n">
        <x:v>2</x:v>
      </x:c>
      <x:c r="O45" s="3" t="n">
        <x:v>125</x:v>
      </x:c>
    </x:row>
    <x:row r="46" ht="34" customHeight="1">
      <x:c r="A46" s="3" t="str">
        <x:v>Infeksi / Penyakit Tropis</x:v>
      </x:c>
      <x:c r="B46" s="8" t="n">
        <x:v>12800</x:v>
      </x:c>
      <x:c r="C46" s="8" t="n">
        <x:v>3200</x:v>
      </x:c>
      <x:c r="D46" s="8" t="n">
        <x:v>0</x:v>
      </x:c>
      <x:c r="E46" s="8" t="n">
        <x:v>0</x:v>
      </x:c>
      <x:c r="F46" s="8" t="n">
        <x:f>SUM(B46:C46)</x:f>
        <x:v>16000</x:v>
      </x:c>
      <x:c r="G46" s="8" t="n">
        <x:f>SUM(D46:E46)</x:f>
        <x:v>0</x:v>
      </x:c>
      <x:c r="H46" s="8" t="n">
        <x:v>0</x:v>
      </x:c>
      <x:c r="I46" s="7" t="n">
        <x:f>IF(H46&gt;0,G46/F46,0)</x:f>
        <x:v>0</x:v>
      </x:c>
      <x:c r="J46" s="7" t="n">
        <x:f>IF(H46&gt;0,G46/(H46*365)*100,0)</x:f>
        <x:v>0</x:v>
      </x:c>
      <x:c r="K46" s="3" t="str">
        <x:v>kunjungan</x:v>
      </x:c>
      <x:c r="L46" s="3" t="n">
        <x:v>3</x:v>
      </x:c>
      <x:c r="M46" s="3" t="n">
        <x:v>9</x:v>
      </x:c>
      <x:c r="N46" s="3" t="n">
        <x:v>2</x:v>
      </x:c>
      <x:c r="O46" s="3" t="n">
        <x:v>128</x:v>
      </x:c>
    </x:row>
    <x:row r="47" ht="34" customHeight="1">
      <x:c r="A47" s="3" t="str">
        <x:v>Hematologi dan Onkologi Medik</x:v>
      </x:c>
      <x:c r="B47" s="8" t="n">
        <x:v>9600</x:v>
      </x:c>
      <x:c r="C47" s="8" t="n">
        <x:v>2400</x:v>
      </x:c>
      <x:c r="D47" s="8" t="n">
        <x:v>0</x:v>
      </x:c>
      <x:c r="E47" s="8" t="n">
        <x:v>0</x:v>
      </x:c>
      <x:c r="F47" s="8" t="n">
        <x:f>SUM(B47:C47)</x:f>
        <x:v>12000</x:v>
      </x:c>
      <x:c r="G47" s="8" t="n">
        <x:f>SUM(D47:E47)</x:f>
        <x:v>0</x:v>
      </x:c>
      <x:c r="H47" s="8" t="n">
        <x:v>0</x:v>
      </x:c>
      <x:c r="I47" s="7" t="n">
        <x:f>IF(H47&gt;0,G47/F47,0)</x:f>
        <x:v>0</x:v>
      </x:c>
      <x:c r="J47" s="7" t="n">
        <x:f>IF(H47&gt;0,G47/(H47*365)*100,0)</x:f>
        <x:v>0</x:v>
      </x:c>
      <x:c r="K47" s="3" t="str">
        <x:v>kunjungan</x:v>
      </x:c>
      <x:c r="L47" s="3" t="n">
        <x:v>2</x:v>
      </x:c>
      <x:c r="M47" s="3" t="n">
        <x:v>7</x:v>
      </x:c>
      <x:c r="N47" s="3" t="n">
        <x:v>2</x:v>
      </x:c>
      <x:c r="O47" s="3" t="n">
        <x:v>116</x:v>
      </x:c>
    </x:row>
    <x:row r="48" ht="34" customHeight="1">
      <x:c r="A48" s="3" t="str">
        <x:v>Imunologi dan Reumatologi</x:v>
      </x:c>
      <x:c r="B48" s="8" t="n">
        <x:v>8000</x:v>
      </x:c>
      <x:c r="C48" s="8" t="n">
        <x:v>2000</x:v>
      </x:c>
      <x:c r="D48" s="8" t="n">
        <x:v>0</x:v>
      </x:c>
      <x:c r="E48" s="8" t="n">
        <x:v>0</x:v>
      </x:c>
      <x:c r="F48" s="8" t="n">
        <x:f>SUM(B48:C48)</x:f>
        <x:v>10000</x:v>
      </x:c>
      <x:c r="G48" s="8" t="n">
        <x:f>SUM(D48:E48)</x:f>
        <x:v>0</x:v>
      </x:c>
      <x:c r="H48" s="8" t="n">
        <x:v>0</x:v>
      </x:c>
      <x:c r="I48" s="7" t="n">
        <x:f>IF(H48&gt;0,G48/F48,0)</x:f>
        <x:v>0</x:v>
      </x:c>
      <x:c r="J48" s="7" t="n">
        <x:f>IF(H48&gt;0,G48/(H48*365)*100,0)</x:f>
        <x:v>0</x:v>
      </x:c>
      <x:c r="K48" s="3" t="str">
        <x:v>kunjungan</x:v>
      </x:c>
      <x:c r="L48" s="3" t="n">
        <x:v>2</x:v>
      </x:c>
      <x:c r="M48" s="3" t="n">
        <x:v>6</x:v>
      </x:c>
      <x:c r="N48" s="3" t="n">
        <x:v>2</x:v>
      </x:c>
      <x:c r="O48" s="3" t="n">
        <x:v>110</x:v>
      </x:c>
    </x:row>
    <x:row r="49" ht="34" customHeight="1">
      <x:c r="A49" s="3" t="str">
        <x:v>Keracunan (Toksikologi)</x:v>
      </x:c>
      <x:c r="B49" s="8" t="n">
        <x:v>6400</x:v>
      </x:c>
      <x:c r="C49" s="8" t="n">
        <x:v>1600</x:v>
      </x:c>
      <x:c r="D49" s="8" t="n">
        <x:v>0</x:v>
      </x:c>
      <x:c r="E49" s="8" t="n">
        <x:v>0</x:v>
      </x:c>
      <x:c r="F49" s="8" t="n">
        <x:f>SUM(B49:C49)</x:f>
        <x:v>8000</x:v>
      </x:c>
      <x:c r="G49" s="8" t="n">
        <x:f>SUM(D49:E49)</x:f>
        <x:v>0</x:v>
      </x:c>
      <x:c r="H49" s="8" t="n">
        <x:v>0</x:v>
      </x:c>
      <x:c r="I49" s="7" t="n">
        <x:f>IF(H49&gt;0,G49/F49,0)</x:f>
        <x:v>0</x:v>
      </x:c>
      <x:c r="J49" s="7" t="n">
        <x:f>IF(H49&gt;0,G49/(H49*365)*100,0)</x:f>
        <x:v>0</x:v>
      </x:c>
      <x:c r="K49" s="3" t="str">
        <x:v>kunjungan</x:v>
      </x:c>
      <x:c r="L49" s="3" t="n">
        <x:v>2</x:v>
      </x:c>
      <x:c r="M49" s="3" t="n">
        <x:v>5</x:v>
      </x:c>
      <x:c r="N49" s="3" t="n">
        <x:v>2</x:v>
      </x:c>
      <x:c r="O49" s="3" t="n">
        <x:v>104</x:v>
      </x:c>
    </x:row>
    <x:row r="50" ht="34" customHeight="1">
      <x:c r="A50" s="3" t="str">
        <x:v>Endokrin, Metabolik, dan Diabetes</x:v>
      </x:c>
      <x:c r="B50" s="8" t="n">
        <x:v>19200</x:v>
      </x:c>
      <x:c r="C50" s="8" t="n">
        <x:v>4800</x:v>
      </x:c>
      <x:c r="D50" s="8" t="n">
        <x:v>0</x:v>
      </x:c>
      <x:c r="E50" s="8" t="n">
        <x:v>0</x:v>
      </x:c>
      <x:c r="F50" s="8" t="n">
        <x:f>SUM(B50:C50)</x:f>
        <x:v>24000</x:v>
      </x:c>
      <x:c r="G50" s="8" t="n">
        <x:f>SUM(D50:E50)</x:f>
        <x:v>0</x:v>
      </x:c>
      <x:c r="H50" s="8" t="n">
        <x:v>0</x:v>
      </x:c>
      <x:c r="I50" s="7" t="n">
        <x:f>IF(H50&gt;0,G50/F50,0)</x:f>
        <x:v>0</x:v>
      </x:c>
      <x:c r="J50" s="7" t="n">
        <x:f>IF(H50&gt;0,G50/(H50*365)*100,0)</x:f>
        <x:v>0</x:v>
      </x:c>
      <x:c r="K50" s="3" t="str">
        <x:v>kunjungan</x:v>
      </x:c>
      <x:c r="L50" s="3" t="n">
        <x:v>4</x:v>
      </x:c>
      <x:c r="M50" s="3" t="n">
        <x:v>12</x:v>
      </x:c>
      <x:c r="N50" s="3" t="n">
        <x:v>2</x:v>
      </x:c>
      <x:c r="O50" s="3" t="n">
        <x:v>152</x:v>
      </x:c>
    </x:row>
    <x:row r="51" ht="34" customHeight="1">
      <x:c r="A51" s="3" t="str">
        <x:v>Luka Bakar (Burn Unit)</x:v>
      </x:c>
      <x:c r="B51" s="8" t="n">
        <x:v>6400</x:v>
      </x:c>
      <x:c r="C51" s="8" t="n">
        <x:v>1600</x:v>
      </x:c>
      <x:c r="D51" s="8" t="n">
        <x:v>0</x:v>
      </x:c>
      <x:c r="E51" s="8" t="n">
        <x:v>0</x:v>
      </x:c>
      <x:c r="F51" s="8" t="n">
        <x:f>SUM(B51:C51)</x:f>
        <x:v>8000</x:v>
      </x:c>
      <x:c r="G51" s="8" t="n">
        <x:f>SUM(D51:E51)</x:f>
        <x:v>0</x:v>
      </x:c>
      <x:c r="H51" s="8" t="n">
        <x:v>0</x:v>
      </x:c>
      <x:c r="I51" s="7" t="n">
        <x:f>IF(H51&gt;0,G51/F51,0)</x:f>
        <x:v>0</x:v>
      </x:c>
      <x:c r="J51" s="7" t="n">
        <x:f>IF(H51&gt;0,G51/(H51*365)*100,0)</x:f>
        <x:v>0</x:v>
      </x:c>
      <x:c r="K51" s="3" t="str">
        <x:v>kunjungan</x:v>
      </x:c>
      <x:c r="L51" s="3" t="n">
        <x:v>2</x:v>
      </x:c>
      <x:c r="M51" s="3" t="n">
        <x:v>5</x:v>
      </x:c>
      <x:c r="N51" s="3" t="n">
        <x:v>2</x:v>
      </x:c>
      <x:c r="O51" s="3" t="n">
        <x:v>104</x:v>
      </x:c>
    </x:row>
    <x:row r="52" ht="34" customHeight="1">
      <x:c r="A52" s="3" t="str">
        <x:v>Jiwa / Psikiatri</x:v>
      </x:c>
      <x:c r="B52" s="8" t="n">
        <x:v>12800</x:v>
      </x:c>
      <x:c r="C52" s="8" t="n">
        <x:v>3200</x:v>
      </x:c>
      <x:c r="D52" s="8" t="n">
        <x:v>0</x:v>
      </x:c>
      <x:c r="E52" s="8" t="n">
        <x:v>0</x:v>
      </x:c>
      <x:c r="F52" s="8" t="n">
        <x:f>SUM(B52:C52)</x:f>
        <x:v>16000</x:v>
      </x:c>
      <x:c r="G52" s="8" t="n">
        <x:f>SUM(D52:E52)</x:f>
        <x:v>0</x:v>
      </x:c>
      <x:c r="H52" s="8" t="n">
        <x:v>0</x:v>
      </x:c>
      <x:c r="I52" s="7" t="n">
        <x:f>IF(H52&gt;0,G52/F52,0)</x:f>
        <x:v>0</x:v>
      </x:c>
      <x:c r="J52" s="7" t="n">
        <x:f>IF(H52&gt;0,G52/(H52*365)*100,0)</x:f>
        <x:v>0</x:v>
      </x:c>
      <x:c r="K52" s="3" t="str">
        <x:v>kunjungan</x:v>
      </x:c>
      <x:c r="L52" s="3" t="n">
        <x:v>3</x:v>
      </x:c>
      <x:c r="M52" s="3" t="n">
        <x:v>9</x:v>
      </x:c>
      <x:c r="N52" s="3" t="n">
        <x:v>2</x:v>
      </x:c>
      <x:c r="O52" s="3" t="n">
        <x:v>128</x:v>
      </x:c>
    </x:row>
    <x:row r="53" ht="34" customHeight="1">
      <x:c r="A53" s="3" t="str">
        <x:v>Gigi dan Mulut</x:v>
      </x:c>
      <x:c r="B53" s="8" t="n">
        <x:v>14400</x:v>
      </x:c>
      <x:c r="C53" s="8" t="n">
        <x:v>3600</x:v>
      </x:c>
      <x:c r="D53" s="8" t="n">
        <x:v>0</x:v>
      </x:c>
      <x:c r="E53" s="8" t="n">
        <x:v>0</x:v>
      </x:c>
      <x:c r="F53" s="8" t="n">
        <x:f>SUM(B53:C53)</x:f>
        <x:v>18000</x:v>
      </x:c>
      <x:c r="G53" s="8" t="n">
        <x:f>SUM(D53:E53)</x:f>
        <x:v>0</x:v>
      </x:c>
      <x:c r="H53" s="8" t="n">
        <x:v>0</x:v>
      </x:c>
      <x:c r="I53" s="7" t="n">
        <x:f>IF(H53&gt;0,G53/F53,0)</x:f>
        <x:v>0</x:v>
      </x:c>
      <x:c r="J53" s="7" t="n">
        <x:f>IF(H53&gt;0,G53/(H53*365)*100,0)</x:f>
        <x:v>0</x:v>
      </x:c>
      <x:c r="K53" s="3" t="str">
        <x:v>kunjungan</x:v>
      </x:c>
      <x:c r="L53" s="3" t="n">
        <x:v>3</x:v>
      </x:c>
      <x:c r="M53" s="3" t="n">
        <x:v>10</x:v>
      </x:c>
      <x:c r="N53" s="3" t="n">
        <x:v>2</x:v>
      </x:c>
      <x:c r="O53" s="3" t="n">
        <x:v>134</x:v>
      </x:c>
    </x:row>
    <x:row r="54" ht="34" customHeight="1">
      <x:c r="A54" s="3" t="str">
        <x:v>Forensik dan Medikolegal</x:v>
      </x:c>
      <x:c r="B54" s="8" t="n">
        <x:v>3200</x:v>
      </x:c>
      <x:c r="C54" s="8" t="n">
        <x:v>800</x:v>
      </x:c>
      <x:c r="D54" s="8" t="n">
        <x:v>0</x:v>
      </x:c>
      <x:c r="E54" s="8" t="n">
        <x:v>0</x:v>
      </x:c>
      <x:c r="F54" s="8" t="n">
        <x:f>SUM(B54:C54)</x:f>
        <x:v>4000</x:v>
      </x:c>
      <x:c r="G54" s="8" t="n">
        <x:f>SUM(D54:E54)</x:f>
        <x:v>0</x:v>
      </x:c>
      <x:c r="H54" s="8" t="n">
        <x:v>0</x:v>
      </x:c>
      <x:c r="I54" s="7" t="n">
        <x:f>IF(H54&gt;0,G54/F54,0)</x:f>
        <x:v>0</x:v>
      </x:c>
      <x:c r="J54" s="7" t="n">
        <x:f>IF(H54&gt;0,G54/(H54*365)*100,0)</x:f>
        <x:v>0</x:v>
      </x:c>
      <x:c r="K54" s="3" t="str">
        <x:v>kunjungan</x:v>
      </x:c>
      <x:c r="L54" s="3" t="n">
        <x:v>2</x:v>
      </x:c>
      <x:c r="M54" s="3" t="n">
        <x:v>4</x:v>
      </x:c>
      <x:c r="N54" s="3" t="n">
        <x:v>2</x:v>
      </x:c>
      <x:c r="O54" s="3" t="n">
        <x:v>92</x:v>
      </x:c>
    </x:row>
    <x:row r="55" ht="34" customHeight="1">
      <x:c r="A55" s="3" t="str">
        <x:v>Poliklinik Rehabilitasi Medik</x:v>
      </x:c>
      <x:c r="B55" s="8" t="n">
        <x:v>17600</x:v>
      </x:c>
      <x:c r="C55" s="8" t="n">
        <x:v>4400</x:v>
      </x:c>
      <x:c r="D55" s="8" t="n">
        <x:v>0</x:v>
      </x:c>
      <x:c r="E55" s="8" t="n">
        <x:v>0</x:v>
      </x:c>
      <x:c r="F55" s="8" t="n">
        <x:f>SUM(B55:C55)</x:f>
        <x:v>22000</x:v>
      </x:c>
      <x:c r="G55" s="8" t="n">
        <x:f>SUM(D55:E55)</x:f>
        <x:v>0</x:v>
      </x:c>
      <x:c r="H55" s="8" t="n">
        <x:v>0</x:v>
      </x:c>
      <x:c r="I55" s="7" t="n">
        <x:f>IF(H55&gt;0,G55/F55,0)</x:f>
        <x:v>0</x:v>
      </x:c>
      <x:c r="J55" s="7" t="n">
        <x:f>IF(H55&gt;0,G55/(H55*365)*100,0)</x:f>
        <x:v>0</x:v>
      </x:c>
      <x:c r="K55" s="3" t="str">
        <x:v>kunjungan</x:v>
      </x:c>
      <x:c r="L55" s="3" t="n">
        <x:v>4</x:v>
      </x:c>
      <x:c r="M55" s="3" t="n">
        <x:v>11</x:v>
      </x:c>
      <x:c r="N55" s="3" t="n">
        <x:v>2</x:v>
      </x:c>
      <x:c r="O55" s="3" t="n">
        <x:v>146</x:v>
      </x:c>
    </x:row>
    <x:row r="56" ht="34" customHeight="1">
      <x:c r="A56" s="3"/>
      <x:c r="B56" s="8"/>
      <x:c r="C56" s="8"/>
      <x:c r="D56" s="8"/>
      <x:c r="E56" s="8"/>
      <x:c r="F56" s="8"/>
      <x:c r="G56" s="8"/>
      <x:c r="H56" s="8"/>
      <x:c r="I56" s="3"/>
      <x:c r="J56" s="3"/>
      <x:c r="K56" s="3"/>
      <x:c r="L56" s="3"/>
      <x:c r="M56" s="3"/>
      <x:c r="N56" s="3"/>
      <x:c r="O56" s="3"/>
    </x:row>
    <x:row r="57" ht="34" customHeight="1">
      <x:c r="A57" s="3" t="str">
        <x:v>TOTAL RAWAT INAP</x:v>
      </x:c>
      <x:c r="B57" s="8" t="n">
        <x:f>SUM(B26:B30)</x:f>
        <x:v>16717</x:v>
      </x:c>
      <x:c r="C57" s="8" t="n">
        <x:f>SUM(C26:C30)</x:f>
        <x:v>2628</x:v>
      </x:c>
      <x:c r="D57" s="8" t="n">
        <x:f>SUM(D26:D30)</x:f>
        <x:v>75628</x:v>
      </x:c>
      <x:c r="E57" s="8" t="n">
        <x:f>SUM(E26:E30)</x:f>
        <x:v>10877</x:v>
      </x:c>
      <x:c r="F57" s="8" t="n">
        <x:f>SUM(F26:F30)</x:f>
        <x:v>19345</x:v>
      </x:c>
      <x:c r="G57" s="8" t="n">
        <x:f>SUM(G26:G30)</x:f>
        <x:v>86505</x:v>
      </x:c>
      <x:c r="H57" s="8"/>
      <x:c r="I57" s="3"/>
      <x:c r="J57" s="3"/>
      <x:c r="K57" s="3"/>
      <x:c r="L57" s="3"/>
      <x:c r="M57" s="3"/>
      <x:c r="N57" s="3"/>
      <x:c r="O57" s="3"/>
    </x:row>
    <x:row r="58" ht="34" customHeight="1">
      <x:c r="A58" s="3" t="str">
        <x:v>TOTAL KUNJUNGAN FINAL (IGD + 24 LAYANAN)</x:v>
      </x:c>
      <x:c r="B58" s="8" t="n">
        <x:f>SUM(B31:B55)</x:f>
        <x:v>352800</x:v>
      </x:c>
      <x:c r="C58" s="8" t="n">
        <x:f>SUM(C31:C55)</x:f>
        <x:v>88200</x:v>
      </x:c>
      <x:c r="D58" s="8"/>
      <x:c r="E58" s="8"/>
      <x:c r="F58" s="8"/>
      <x:c r="G58" s="8"/>
      <x:c r="H58" s="8"/>
      <x:c r="I58" s="3"/>
      <x:c r="J58" s="3"/>
      <x:c r="K58" s="3"/>
      <x:c r="L58" s="3"/>
      <x:c r="M58" s="3"/>
      <x:c r="N58" s="3"/>
      <x:c r="O58" s="3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51" hidden="0" customWidth="1"/>
    <x:col min="2" max="2" width="27" hidden="0" customWidth="1"/>
    <x:col min="3" max="3" width="63" hidden="0" customWidth="1"/>
  </x:cols>
  <x:sheetData>
    <x:row r="1" ht="34" customHeight="1">
      <x:c r="A1" s="6" t="str">
        <x:v>LAPORAN OPERASIONAL SIMULASI 2025</x:v>
      </x:c>
      <x:c r="B1" s="6" t="str">
        <x:v>RUPIAH</x:v>
      </x:c>
      <x:c r="C1" s="6" t="str">
        <x:v>Penjelasan</x:v>
      </x:c>
    </x:row>
    <x:row r="2" ht="34" customHeight="1">
      <x:c r="A2" s="3"/>
      <x:c r="B2" s="3"/>
      <x:c r="C2" s="3"/>
    </x:row>
    <x:row r="3" ht="34" customHeight="1">
      <x:c r="A3" s="3" t="str">
        <x:v>Status</x:v>
      </x:c>
      <x:c r="B3" s="3" t="str">
        <x:v>DUMMY</x:v>
      </x:c>
      <x:c r="C3" s="3" t="str">
        <x:v>Seluruh angka sintetis.</x:v>
      </x:c>
    </x:row>
    <x:row r="4" ht="34" customHeight="1">
      <x:c r="A4" s="3" t="str">
        <x:v>Basis</x:v>
      </x:c>
      <x:c r="B4" s="3" t="str">
        <x:v>Akrual tahunan</x:v>
      </x:c>
      <x:c r="C4" s="3" t="str">
        <x:v>Investasi tidak dibebankan sekaligus.</x:v>
      </x:c>
    </x:row>
    <x:row r="5" ht="34" customHeight="1">
      <x:c r="A5" s="3" t="str">
        <x:v>Periode</x:v>
      </x:c>
      <x:c r="B5" s="3" t="n">
        <x:v>2025</x:v>
      </x:c>
      <x:c r="C5" s="3" t="str">
        <x:v>12 bulan.</x:v>
      </x:c>
    </x:row>
    <x:row r="6" ht="34" customHeight="1">
      <x:c r="A6" s="3"/>
      <x:c r="B6" s="3"/>
      <x:c r="C6" s="3"/>
    </x:row>
    <x:row r="7" ht="34" customHeight="1">
      <x:c r="A7" s="6" t="str">
        <x:v>BEBAN</x:v>
      </x:c>
      <x:c r="B7" s="6"/>
      <x:c r="C7" s="6"/>
    </x:row>
    <x:row r="8" ht="34" customHeight="1">
      <x:c r="A8" s="3" t="str">
        <x:v>Gaji</x:v>
      </x:c>
      <x:c r="B8" s="9" t="n">
        <x:f>'Costing Template'!J69</x:f>
        <x:v>86772592499</x:v>
      </x:c>
      <x:c r="C8" s="3" t="str">
        <x:v>55% biaya langsung.</x:v>
      </x:c>
    </x:row>
    <x:row r="9" ht="34" customHeight="1">
      <x:c r="A9" s="3" t="str">
        <x:v>Jasa dokter + jasa lainnya</x:v>
      </x:c>
      <x:c r="B9" s="9" t="n">
        <x:f>SUM('Costing Template'!K69:L69)</x:f>
        <x:v>15776834999</x:v>
      </x:c>
      <x:c r="C9" s="3" t="str">
        <x:v>6% dokter dan 4% jasa lainnya.</x:v>
      </x:c>
    </x:row>
    <x:row r="10" ht="34" customHeight="1">
      <x:c r="A10" s="3" t="str">
        <x:v>Operasional</x:v>
      </x:c>
      <x:c r="B10" s="9" t="n">
        <x:f>'Costing Template'!M69</x:f>
        <x:v>47330505000</x:v>
      </x:c>
      <x:c r="C10" s="3" t="str">
        <x:v>Sisa biaya langsung setelah gaji, jasa dan depresiasi.</x:v>
      </x:c>
    </x:row>
    <x:row r="11" ht="34" customHeight="1">
      <x:c r="A11" s="3" t="str">
        <x:v>Penyusutan</x:v>
      </x:c>
      <x:c r="B11" s="9" t="n">
        <x:f>SUM('Costing Template'!P69:Q69)</x:f>
        <x:v>7888417501</x:v>
      </x:c>
      <x:c r="C11" s="3" t="str">
        <x:v>Alat 5 tahun; gedung 40 tahun.</x:v>
      </x:c>
    </x:row>
    <x:row r="12" ht="34" customHeight="1">
      <x:c r="A12" s="6" t="str">
        <x:v>TOTAL BEBAN</x:v>
      </x:c>
      <x:c r="B12" s="12" t="n">
        <x:f>SUM(B8:B11)</x:f>
        <x:v>157768349999</x:v>
      </x:c>
      <x:c r="C12" s="6"/>
    </x:row>
    <x:row r="13" ht="34" customHeight="1">
      <x:c r="A13" s="3"/>
      <x:c r="B13" s="9"/>
      <x:c r="C13" s="3"/>
    </x:row>
    <x:row r="14" ht="34" customHeight="1">
      <x:c r="A14" s="6" t="str">
        <x:v>PENDAPATAN</x:v>
      </x:c>
      <x:c r="B14" s="12"/>
      <x:c r="C14" s="6"/>
    </x:row>
    <x:row r="15" ht="34" customHeight="1">
      <x:c r="A15" s="3"/>
      <x:c r="B15" s="9"/>
      <x:c r="C15" s="3"/>
    </x:row>
    <x:row r="16" ht="34" customHeight="1">
      <x:c r="A16" s="3" t="str">
        <x:v>Fungsional JKN</x:v>
      </x:c>
      <x:c r="B16" s="9" t="n">
        <x:f>'Rumus Perhitungan'!B44*1.1*0.8</x:f>
        <x:v>138836147999.12</x:v>
      </x:c>
      <x:c r="C16" s="3" t="str">
        <x:v>80% pendapatan pelayanan dummy.</x:v>
      </x:c>
    </x:row>
    <x:row r="17" ht="34" customHeight="1">
      <x:c r="A17" s="3" t="str">
        <x:v>Fungsional Non-JKN</x:v>
      </x:c>
      <x:c r="B17" s="9" t="n">
        <x:f>'Rumus Perhitungan'!B44*1.1*0.2</x:f>
        <x:v>34709036999.78</x:v>
      </x:c>
      <x:c r="C17" s="3" t="str">
        <x:v>20% pendapatan pelayanan dummy.</x:v>
      </x:c>
    </x:row>
    <x:row r="18" ht="34" customHeight="1">
      <x:c r="A18" s="3" t="str">
        <x:v>Pendapatan lainnya</x:v>
      </x:c>
      <x:c r="B18" s="9" t="n">
        <x:v>1000000000</x:v>
      </x:c>
      <x:c r="C18" s="3" t="str">
        <x:v>Dummy.</x:v>
      </x:c>
    </x:row>
    <x:row r="19" ht="34" customHeight="1">
      <x:c r="A19" s="3" t="str">
        <x:v>Subsidi/pemerintah</x:v>
      </x:c>
      <x:c r="B19" s="9" t="n">
        <x:v>3000000000</x:v>
      </x:c>
      <x:c r="C19" s="3" t="str">
        <x:v>Dummy.</x:v>
      </x:c>
    </x:row>
    <x:row r="20" ht="34" customHeight="1">
      <x:c r="A20" s="6" t="str">
        <x:v>TOTAL PENDAPATAN</x:v>
      </x:c>
      <x:c r="B20" s="12" t="n">
        <x:f>SUM(B16:B19)</x:f>
        <x:v>177545184998.9</x:v>
      </x:c>
      <x:c r="C20" s="6"/>
    </x:row>
    <x:row r="21" ht="34" customHeight="1">
      <x:c r="A21" s="6" t="str">
        <x:v>SURPLUS OPERASIONAL</x:v>
      </x:c>
      <x:c r="B21" s="12" t="n">
        <x:f>B20-B12</x:f>
        <x:v>19776834999.899994</x:v>
      </x:c>
      <x:c r="C21" s="6"/>
    </x:row>
    <x:row r="22" ht="34" customHeight="1">
      <x:c r="A22" s="3" t="str">
        <x:v>REKONSILIASI BEBAN DENGAN COSTING</x:v>
      </x:c>
      <x:c r="B22" s="9" t="n">
        <x:f>B12-'Costing Template'!S69</x:f>
        <x:v>0</x:v>
      </x:c>
      <x:c r="C22" s="3" t="str">
        <x:v>Harus nol.</x:v>
      </x:c>
    </x:row>
    <x:row r="23" ht="34" customHeight="1">
      <x:c r="A23" s="3" t="str">
        <x:v>REKONSILIASI LO</x:v>
      </x:c>
      <x:c r="B23" s="9" t="n">
        <x:f>B20-B12-B21</x:f>
        <x:v>0</x:v>
      </x:c>
      <x:c r="C23" s="3" t="str">
        <x:v>Pendapatan − beban − surplus; harus nol.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7" hidden="0" customWidth="1"/>
    <x:col min="2" max="2" width="48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17" hidden="0" customWidth="1"/>
    <x:col min="19" max="19" width="26" hidden="0" customWidth="1"/>
  </x:cols>
  <x:sheetData>
    <x:row r="1" ht="34" customHeight="1">
      <x:c r="A1" s="6" t="str">
        <x:v>TEMPLATE COSTING RS SIMULASI ABC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  <x:c r="P1" s="6"/>
      <x:c r="Q1" s="6"/>
      <x:c r="R1" s="6"/>
      <x:c r="S1" s="6"/>
    </x:row>
    <x:row r="2" ht="34" customHeight="1">
      <x:c r="A2" s="3" t="str">
        <x:v>Tahun Data:</x:v>
      </x:c>
      <x:c r="B2" s="3" t="n">
        <x:v>2025</x:v>
      </x:c>
      <x:c r="C2" s="3"/>
      <x:c r="D2" s="3"/>
      <x:c r="E2" s="3"/>
      <x:c r="F2" s="3"/>
      <x:c r="G2" s="3"/>
      <x:c r="H2" s="3"/>
      <x:c r="I2" s="3"/>
      <x:c r="J2" s="3" t="str">
        <x:v>Tipe RS:</x:v>
      </x:c>
      <x:c r="K2" s="3" t="str">
        <x:v>B</x:v>
      </x:c>
      <x:c r="L2" s="3"/>
      <x:c r="M2" s="3" t="str">
        <x:v>Kepemilikan:</x:v>
      </x:c>
      <x:c r="N2" s="3" t="str">
        <x:v>Pemerintah Daerah</x:v>
      </x:c>
      <x:c r="O2" s="3"/>
      <x:c r="P2" s="3"/>
      <x:c r="Q2" s="3"/>
      <x:c r="R2" s="3"/>
      <x:c r="S2" s="3"/>
    </x:row>
    <x:row r="3" ht="34" customHeight="1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</x:row>
    <x:row r="4" ht="34" customHeight="1">
      <x:c r="A4" s="6" t="str">
        <x:v>A. PUSAT BIAYA PENUNJANG UMUM (OVERHEAD)</x:v>
      </x:c>
      <x:c r="B4" s="6"/>
      <x:c r="C4" s="6"/>
      <x:c r="D4" s="6"/>
      <x:c r="E4" s="6"/>
      <x:c r="F4" s="6"/>
      <x:c r="G4" s="6"/>
      <x:c r="H4" s="6"/>
      <x:c r="I4" s="6"/>
      <x:c r="J4" s="6"/>
      <x:c r="K4" s="6"/>
      <x:c r="L4" s="6"/>
      <x:c r="M4" s="6"/>
      <x:c r="N4" s="6"/>
      <x:c r="O4" s="6"/>
      <x:c r="P4" s="6"/>
      <x:c r="Q4" s="6"/>
      <x:c r="R4" s="6"/>
      <x:c r="S4" s="6"/>
    </x:row>
    <x:row r="5" ht="60" customHeight="1">
      <x:c r="A5" s="6" t="str">
        <x:v>No</x:v>
      </x:c>
      <x:c r="B5" s="6" t="str">
        <x:v>Nama Unit / Pusat Biaya</x:v>
      </x:c>
      <x:c r="C5" s="6" t="str">
        <x:v>Dasar Alokasi</x:v>
      </x:c>
      <x:c r="D5" s="6" t="str">
        <x:v>Jumlah Staf</x:v>
      </x:c>
      <x:c r="E5" s="6" t="str">
        <x:v>Hari Rawat</x:v>
      </x:c>
      <x:c r="F5" s="6" t="str">
        <x:v>Pasien Pulang</x:v>
      </x:c>
      <x:c r="G5" s="6" t="str">
        <x:v>Jml Kunjungan</x:v>
      </x:c>
      <x:c r="H5" s="6" t="str">
        <x:v>ALOS</x:v>
      </x:c>
      <x:c r="I5" s="6" t="str">
        <x:v>Jml Tempat Tidur</x:v>
      </x:c>
      <x:c r="J5" s="6" t="str">
        <x:v>Biaya Gaji</x:v>
      </x:c>
      <x:c r="K5" s="6" t="str">
        <x:v>Biaya Jasa Medis</x:v>
      </x:c>
      <x:c r="L5" s="6" t="str">
        <x:v>Biaya Jasa Medis Lain</x:v>
      </x:c>
      <x:c r="M5" s="6" t="str">
        <x:v>Biaya Operasional</x:v>
      </x:c>
      <x:c r="N5" s="6" t="str">
        <x:v>Nilai Alat</x:v>
      </x:c>
      <x:c r="O5" s="6" t="str">
        <x:v>Investasi Gedung</x:v>
      </x:c>
      <x:c r="P5" s="6" t="str">
        <x:v>Dep. Peralatan (Otomatis)</x:v>
      </x:c>
      <x:c r="Q5" s="6" t="str">
        <x:v>Dep. Gedung (Otomatis)</x:v>
      </x:c>
      <x:c r="R5" s="6" t="str">
        <x:v>Luas Lantai (m²)</x:v>
      </x:c>
      <x:c r="S5" s="6" t="str">
        <x:v>Total Biaya Langsung (Otomatis)</x:v>
      </x:c>
    </x:row>
    <x:row r="6" ht="34" customHeight="1">
      <x:c r="A6" s="3" t="n">
        <x:v>1</x:v>
      </x:c>
      <x:c r="B6" s="3" t="str">
        <x:v>Manajemen &amp; Administrasi</x:v>
      </x:c>
      <x:c r="C6" s="3" t="str">
        <x:v>jumlah_staf</x:v>
      </x:c>
      <x:c r="D6" s="3" t="n">
        <x:v>27</x:v>
      </x:c>
      <x:c r="E6" s="3" t="n">
        <x:v>0</x:v>
      </x:c>
      <x:c r="F6" s="3" t="n">
        <x:v>0</x:v>
      </x:c>
      <x:c r="G6" s="3" t="n">
        <x:v>0</x:v>
      </x:c>
      <x:c r="H6" s="3" t="n">
        <x:v>0</x:v>
      </x:c>
      <x:c r="I6" s="3" t="n">
        <x:v>0</x:v>
      </x:c>
      <x:c r="J6" s="8" t="n">
        <x:f>ROUND(2160000000*0.55,0)</x:f>
        <x:v>1188000000</x:v>
      </x:c>
      <x:c r="K6" s="8" t="n">
        <x:f>ROUND(2160000000*0.06,0)</x:f>
        <x:v>129600000</x:v>
      </x:c>
      <x:c r="L6" s="8" t="n">
        <x:f>ROUND(2160000000*0.04,0)</x:f>
        <x:v>86400000</x:v>
      </x:c>
      <x:c r="M6" s="8" t="n">
        <x:f>2160000000-SUM(J6:L6,P6:Q6)</x:f>
        <x:v>648000000</x:v>
      </x:c>
      <x:c r="N6" s="8" t="n">
        <x:f>P6*5</x:f>
        <x:v>378000000</x:v>
      </x:c>
      <x:c r="O6" s="8" t="n">
        <x:f>Q6*40</x:f>
        <x:v>1296000000</x:v>
      </x:c>
      <x:c r="P6" s="8" t="n">
        <x:f>ROUND(2160000000*0.035,0)</x:f>
        <x:v>75600000</x:v>
      </x:c>
      <x:c r="Q6" s="8" t="n">
        <x:f>ROUND(2160000000*0.015,0)</x:f>
        <x:v>32400000</x:v>
      </x:c>
      <x:c r="R6" s="8" t="n">
        <x:v>450</x:v>
      </x:c>
      <x:c r="S6" s="8" t="n">
        <x:f>SUM(J6:M6,P6:Q6)</x:f>
        <x:v>2160000000</x:v>
      </x:c>
    </x:row>
    <x:row r="7" ht="34" customHeight="1">
      <x:c r="A7" s="3" t="n">
        <x:v>2</x:v>
      </x:c>
      <x:c r="B7" s="3" t="str">
        <x:v>Komite &amp; Pengawasan</x:v>
      </x:c>
      <x:c r="C7" s="3" t="str">
        <x:v>jumlah_staf</x:v>
      </x:c>
      <x:c r="D7" s="3" t="n">
        <x:v>6</x:v>
      </x:c>
      <x:c r="E7" s="3" t="n">
        <x:v>0</x:v>
      </x:c>
      <x:c r="F7" s="3" t="n">
        <x:v>0</x:v>
      </x:c>
      <x:c r="G7" s="3" t="n">
        <x:v>0</x:v>
      </x:c>
      <x:c r="H7" s="3" t="n">
        <x:v>0</x:v>
      </x:c>
      <x:c r="I7" s="3" t="n">
        <x:v>0</x:v>
      </x:c>
      <x:c r="J7" s="8" t="n">
        <x:f>ROUND(480000000*0.55,0)</x:f>
        <x:v>264000000</x:v>
      </x:c>
      <x:c r="K7" s="8" t="n">
        <x:f>ROUND(480000000*0.06,0)</x:f>
        <x:v>28800000</x:v>
      </x:c>
      <x:c r="L7" s="8" t="n">
        <x:f>ROUND(480000000*0.04,0)</x:f>
        <x:v>19200000</x:v>
      </x:c>
      <x:c r="M7" s="8" t="n">
        <x:f>480000000-SUM(J7:L7,P7:Q7)</x:f>
        <x:v>144000000</x:v>
      </x:c>
      <x:c r="N7" s="8" t="n">
        <x:f>P7*5</x:f>
        <x:v>84000000</x:v>
      </x:c>
      <x:c r="O7" s="8" t="n">
        <x:f>Q7*40</x:f>
        <x:v>288000000</x:v>
      </x:c>
      <x:c r="P7" s="8" t="n">
        <x:f>ROUND(480000000*0.035,0)</x:f>
        <x:v>16800000</x:v>
      </x:c>
      <x:c r="Q7" s="8" t="n">
        <x:f>ROUND(480000000*0.015,0)</x:f>
        <x:v>7200000</x:v>
      </x:c>
      <x:c r="R7" s="8" t="n">
        <x:v>60</x:v>
      </x:c>
      <x:c r="S7" s="8" t="n">
        <x:f>SUM(J7:M7,P7:Q7)</x:f>
        <x:v>480000000</x:v>
      </x:c>
    </x:row>
    <x:row r="8" ht="34" customHeight="1">
      <x:c r="A8" s="3" t="n">
        <x:v>3</x:v>
      </x:c>
      <x:c r="B8" s="3" t="str">
        <x:v>Teknologi Informasi</x:v>
      </x:c>
      <x:c r="C8" s="3" t="str">
        <x:v>jumlah_staf</x:v>
      </x:c>
      <x:c r="D8" s="3" t="n">
        <x:v>6</x:v>
      </x:c>
      <x:c r="E8" s="3" t="n">
        <x:v>0</x:v>
      </x:c>
      <x:c r="F8" s="3" t="n">
        <x:v>0</x:v>
      </x:c>
      <x:c r="G8" s="3" t="n">
        <x:v>0</x:v>
      </x:c>
      <x:c r="H8" s="3" t="n">
        <x:v>0</x:v>
      </x:c>
      <x:c r="I8" s="3" t="n">
        <x:v>0</x:v>
      </x:c>
      <x:c r="J8" s="8" t="n">
        <x:f>ROUND(480000000*0.55,0)</x:f>
        <x:v>264000000</x:v>
      </x:c>
      <x:c r="K8" s="8" t="n">
        <x:f>ROUND(480000000*0.06,0)</x:f>
        <x:v>28800000</x:v>
      </x:c>
      <x:c r="L8" s="8" t="n">
        <x:f>ROUND(480000000*0.04,0)</x:f>
        <x:v>19200000</x:v>
      </x:c>
      <x:c r="M8" s="8" t="n">
        <x:f>480000000-SUM(J8:L8,P8:Q8)</x:f>
        <x:v>144000000</x:v>
      </x:c>
      <x:c r="N8" s="8" t="n">
        <x:f>P8*5</x:f>
        <x:v>84000000</x:v>
      </x:c>
      <x:c r="O8" s="8" t="n">
        <x:f>Q8*40</x:f>
        <x:v>288000000</x:v>
      </x:c>
      <x:c r="P8" s="8" t="n">
        <x:f>ROUND(480000000*0.035,0)</x:f>
        <x:v>16800000</x:v>
      </x:c>
      <x:c r="Q8" s="8" t="n">
        <x:f>ROUND(480000000*0.015,0)</x:f>
        <x:v>7200000</x:v>
      </x:c>
      <x:c r="R8" s="8" t="n">
        <x:v>120</x:v>
      </x:c>
      <x:c r="S8" s="8" t="n">
        <x:f>SUM(J8:M8,P8:Q8)</x:f>
        <x:v>480000000</x:v>
      </x:c>
    </x:row>
    <x:row r="9" ht="34" customHeight="1">
      <x:c r="A9" s="3" t="n">
        <x:v>4</x:v>
      </x:c>
      <x:c r="B9" s="3" t="str">
        <x:v>Pendidikan &amp; Penelitian</x:v>
      </x:c>
      <x:c r="C9" s="3" t="str">
        <x:v>jumlah_staf</x:v>
      </x:c>
      <x:c r="D9" s="3" t="n">
        <x:v>11</x:v>
      </x:c>
      <x:c r="E9" s="3" t="n">
        <x:v>0</x:v>
      </x:c>
      <x:c r="F9" s="3" t="n">
        <x:v>0</x:v>
      </x:c>
      <x:c r="G9" s="3" t="n">
        <x:v>0</x:v>
      </x:c>
      <x:c r="H9" s="3" t="n">
        <x:v>0</x:v>
      </x:c>
      <x:c r="I9" s="3" t="n">
        <x:v>0</x:v>
      </x:c>
      <x:c r="J9" s="8" t="n">
        <x:f>ROUND(880000000*0.55,0)</x:f>
        <x:v>484000000</x:v>
      </x:c>
      <x:c r="K9" s="8" t="n">
        <x:f>ROUND(880000000*0.06,0)</x:f>
        <x:v>52800000</x:v>
      </x:c>
      <x:c r="L9" s="8" t="n">
        <x:f>ROUND(880000000*0.04,0)</x:f>
        <x:v>35200000</x:v>
      </x:c>
      <x:c r="M9" s="8" t="n">
        <x:f>880000000-SUM(J9:L9,P9:Q9)</x:f>
        <x:v>264000000</x:v>
      </x:c>
      <x:c r="N9" s="8" t="n">
        <x:f>P9*5</x:f>
        <x:v>154000000</x:v>
      </x:c>
      <x:c r="O9" s="8" t="n">
        <x:f>Q9*40</x:f>
        <x:v>528000000</x:v>
      </x:c>
      <x:c r="P9" s="8" t="n">
        <x:f>ROUND(880000000*0.035,0)</x:f>
        <x:v>30800000</x:v>
      </x:c>
      <x:c r="Q9" s="8" t="n">
        <x:f>ROUND(880000000*0.015,0)</x:f>
        <x:v>13200000</x:v>
      </x:c>
      <x:c r="R9" s="8" t="n">
        <x:v>180</x:v>
      </x:c>
      <x:c r="S9" s="8" t="n">
        <x:f>SUM(J9:M9,P9:Q9)</x:f>
        <x:v>880000000</x:v>
      </x:c>
    </x:row>
    <x:row r="10" ht="34" customHeight="1">
      <x:c r="A10" s="3" t="n">
        <x:v>5</x:v>
      </x:c>
      <x:c r="B10" s="3" t="str">
        <x:v>Keamanan &amp; Keselamatan</x:v>
      </x:c>
      <x:c r="C10" s="3" t="str">
        <x:v>jumlah_staf</x:v>
      </x:c>
      <x:c r="D10" s="3" t="n">
        <x:v>9</x:v>
      </x:c>
      <x:c r="E10" s="3" t="n">
        <x:v>0</x:v>
      </x:c>
      <x:c r="F10" s="3" t="n">
        <x:v>0</x:v>
      </x:c>
      <x:c r="G10" s="3" t="n">
        <x:v>0</x:v>
      </x:c>
      <x:c r="H10" s="3" t="n">
        <x:v>0</x:v>
      </x:c>
      <x:c r="I10" s="3" t="n">
        <x:v>0</x:v>
      </x:c>
      <x:c r="J10" s="8" t="n">
        <x:f>ROUND(720000000*0.55,0)</x:f>
        <x:v>396000000</x:v>
      </x:c>
      <x:c r="K10" s="8" t="n">
        <x:f>ROUND(720000000*0.06,0)</x:f>
        <x:v>43200000</x:v>
      </x:c>
      <x:c r="L10" s="8" t="n">
        <x:f>ROUND(720000000*0.04,0)</x:f>
        <x:v>28800000</x:v>
      </x:c>
      <x:c r="M10" s="8" t="n">
        <x:f>720000000-SUM(J10:L10,P10:Q10)</x:f>
        <x:v>216000000</x:v>
      </x:c>
      <x:c r="N10" s="8" t="n">
        <x:f>P10*5</x:f>
        <x:v>126000000</x:v>
      </x:c>
      <x:c r="O10" s="8" t="n">
        <x:f>Q10*40</x:f>
        <x:v>432000000</x:v>
      </x:c>
      <x:c r="P10" s="8" t="n">
        <x:f>ROUND(720000000*0.035,0)</x:f>
        <x:v>25200000</x:v>
      </x:c>
      <x:c r="Q10" s="8" t="n">
        <x:f>ROUND(720000000*0.015,0)</x:f>
        <x:v>10800000</x:v>
      </x:c>
      <x:c r="R10" s="8" t="n">
        <x:v>120</x:v>
      </x:c>
      <x:c r="S10" s="8" t="n">
        <x:f>SUM(J10:M10,P10:Q10)</x:f>
        <x:v>720000000</x:v>
      </x:c>
    </x:row>
    <x:row r="11" ht="34" customHeight="1">
      <x:c r="A11" s="3" t="n">
        <x:v>6</x:v>
      </x:c>
      <x:c r="B11" s="3" t="str">
        <x:v>Cleaning Services</x:v>
      </x:c>
      <x:c r="C11" s="3" t="str">
        <x:v>jumlah_staf</x:v>
      </x:c>
      <x:c r="D11" s="3" t="n">
        <x:v>10</x:v>
      </x:c>
      <x:c r="E11" s="3" t="n">
        <x:v>0</x:v>
      </x:c>
      <x:c r="F11" s="3" t="n">
        <x:v>0</x:v>
      </x:c>
      <x:c r="G11" s="3" t="n">
        <x:v>0</x:v>
      </x:c>
      <x:c r="H11" s="3" t="n">
        <x:v>0</x:v>
      </x:c>
      <x:c r="I11" s="3" t="n">
        <x:v>0</x:v>
      </x:c>
      <x:c r="J11" s="8" t="n">
        <x:f>ROUND(800000000*0.55,0)</x:f>
        <x:v>440000000</x:v>
      </x:c>
      <x:c r="K11" s="8" t="n">
        <x:f>ROUND(800000000*0.06,0)</x:f>
        <x:v>48000000</x:v>
      </x:c>
      <x:c r="L11" s="8" t="n">
        <x:f>ROUND(800000000*0.04,0)</x:f>
        <x:v>32000000</x:v>
      </x:c>
      <x:c r="M11" s="8" t="n">
        <x:f>800000000-SUM(J11:L11,P11:Q11)</x:f>
        <x:v>240000000</x:v>
      </x:c>
      <x:c r="N11" s="8" t="n">
        <x:f>P11*5</x:f>
        <x:v>140000000</x:v>
      </x:c>
      <x:c r="O11" s="8" t="n">
        <x:f>Q11*40</x:f>
        <x:v>480000000</x:v>
      </x:c>
      <x:c r="P11" s="8" t="n">
        <x:f>ROUND(800000000*0.035,0)</x:f>
        <x:v>28000000</x:v>
      </x:c>
      <x:c r="Q11" s="8" t="n">
        <x:f>ROUND(800000000*0.015,0)</x:f>
        <x:v>12000000</x:v>
      </x:c>
      <x:c r="R11" s="8" t="n">
        <x:v>100</x:v>
      </x:c>
      <x:c r="S11" s="8" t="n">
        <x:f>SUM(J11:M11,P11:Q11)</x:f>
        <x:v>800000000</x:v>
      </x:c>
    </x:row>
    <x:row r="12" ht="34" customHeight="1">
      <x:c r="A12" s="3" t="n">
        <x:v>7</x:v>
      </x:c>
      <x:c r="B12" s="3" t="str">
        <x:v>Customer Service / Front Office</x:v>
      </x:c>
      <x:c r="C12" s="3" t="str">
        <x:v>jumlah_staf</x:v>
      </x:c>
      <x:c r="D12" s="3" t="n">
        <x:v>7</x:v>
      </x:c>
      <x:c r="E12" s="3" t="n">
        <x:v>0</x:v>
      </x:c>
      <x:c r="F12" s="3" t="n">
        <x:v>0</x:v>
      </x:c>
      <x:c r="G12" s="3" t="n">
        <x:v>0</x:v>
      </x:c>
      <x:c r="H12" s="3" t="n">
        <x:v>0</x:v>
      </x:c>
      <x:c r="I12" s="3" t="n">
        <x:v>0</x:v>
      </x:c>
      <x:c r="J12" s="8" t="n">
        <x:f>ROUND(560000000*0.55,0)</x:f>
        <x:v>308000000</x:v>
      </x:c>
      <x:c r="K12" s="8" t="n">
        <x:f>ROUND(560000000*0.06,0)</x:f>
        <x:v>33600000</x:v>
      </x:c>
      <x:c r="L12" s="8" t="n">
        <x:f>ROUND(560000000*0.04,0)</x:f>
        <x:v>22400000</x:v>
      </x:c>
      <x:c r="M12" s="8" t="n">
        <x:f>560000000-SUM(J12:L12,P12:Q12)</x:f>
        <x:v>168000000</x:v>
      </x:c>
      <x:c r="N12" s="8" t="n">
        <x:f>P12*5</x:f>
        <x:v>98000000</x:v>
      </x:c>
      <x:c r="O12" s="8" t="n">
        <x:f>Q12*40</x:f>
        <x:v>336000000</x:v>
      </x:c>
      <x:c r="P12" s="8" t="n">
        <x:f>ROUND(560000000*0.035,0)</x:f>
        <x:v>19600000</x:v>
      </x:c>
      <x:c r="Q12" s="8" t="n">
        <x:f>ROUND(560000000*0.015,0)</x:f>
        <x:v>8400000</x:v>
      </x:c>
      <x:c r="R12" s="8" t="n">
        <x:v>120</x:v>
      </x:c>
      <x:c r="S12" s="8" t="n">
        <x:f>SUM(J12:M12,P12:Q12)</x:f>
        <x:v>560000000</x:v>
      </x:c>
    </x:row>
    <x:row r="13" ht="34" customHeight="1">
      <x:c r="A13" s="3" t="n">
        <x:v>8</x:v>
      </x:c>
      <x:c r="B13" s="3" t="str">
        <x:v>Bahan Habis Pakai - Non Medis</x:v>
      </x:c>
      <x:c r="C13" s="3" t="str">
        <x:v>penggunaan</x:v>
      </x:c>
      <x:c r="D13" s="3" t="n">
        <x:v>3</x:v>
      </x:c>
      <x:c r="E13" s="3" t="n">
        <x:v>0</x:v>
      </x:c>
      <x:c r="F13" s="3" t="n">
        <x:v>0</x:v>
      </x:c>
      <x:c r="G13" s="3" t="n">
        <x:v>0</x:v>
      </x:c>
      <x:c r="H13" s="3" t="n">
        <x:v>0</x:v>
      </x:c>
      <x:c r="I13" s="3" t="n">
        <x:v>0</x:v>
      </x:c>
      <x:c r="J13" s="8" t="n">
        <x:f>ROUND(240000000*0.55,0)</x:f>
        <x:v>132000000</x:v>
      </x:c>
      <x:c r="K13" s="8" t="n">
        <x:f>ROUND(240000000*0.06,0)</x:f>
        <x:v>14400000</x:v>
      </x:c>
      <x:c r="L13" s="8" t="n">
        <x:f>ROUND(240000000*0.04,0)</x:f>
        <x:v>9600000</x:v>
      </x:c>
      <x:c r="M13" s="8" t="n">
        <x:f>240000000-SUM(J13:L13,P13:Q13)</x:f>
        <x:v>72000000</x:v>
      </x:c>
      <x:c r="N13" s="8" t="n">
        <x:f>P13*5</x:f>
        <x:v>42000000</x:v>
      </x:c>
      <x:c r="O13" s="8" t="n">
        <x:f>Q13*40</x:f>
        <x:v>144000000</x:v>
      </x:c>
      <x:c r="P13" s="8" t="n">
        <x:f>ROUND(240000000*0.035,0)</x:f>
        <x:v>8400000</x:v>
      </x:c>
      <x:c r="Q13" s="8" t="n">
        <x:f>ROUND(240000000*0.015,0)</x:f>
        <x:v>3600000</x:v>
      </x:c>
      <x:c r="R13" s="8" t="n">
        <x:v>60</x:v>
      </x:c>
      <x:c r="S13" s="8" t="n">
        <x:f>SUM(J13:M13,P13:Q13)</x:f>
        <x:v>240000000</x:v>
      </x:c>
    </x:row>
    <x:row r="14" ht="34" customHeight="1">
      <x:c r="A14" s="3" t="n">
        <x:v>9</x:v>
      </x:c>
      <x:c r="B14" s="3" t="str">
        <x:v>Fasilitas (Listrik, Air, Telepon, Internet)</x:v>
      </x:c>
      <x:c r="C14" s="3" t="str">
        <x:v>luas_lantai</x:v>
      </x:c>
      <x:c r="D14" s="3" t="n">
        <x:v>7</x:v>
      </x:c>
      <x:c r="E14" s="3" t="n">
        <x:v>0</x:v>
      </x:c>
      <x:c r="F14" s="3" t="n">
        <x:v>0</x:v>
      </x:c>
      <x:c r="G14" s="3" t="n">
        <x:v>0</x:v>
      </x:c>
      <x:c r="H14" s="3" t="n">
        <x:v>0</x:v>
      </x:c>
      <x:c r="I14" s="3" t="n">
        <x:v>0</x:v>
      </x:c>
      <x:c r="J14" s="8" t="n">
        <x:f>ROUND(560000000*0.55,0)</x:f>
        <x:v>308000000</x:v>
      </x:c>
      <x:c r="K14" s="8" t="n">
        <x:f>ROUND(560000000*0.06,0)</x:f>
        <x:v>33600000</x:v>
      </x:c>
      <x:c r="L14" s="8" t="n">
        <x:f>ROUND(560000000*0.04,0)</x:f>
        <x:v>22400000</x:v>
      </x:c>
      <x:c r="M14" s="8" t="n">
        <x:f>560000000-SUM(J14:L14,P14:Q14)</x:f>
        <x:v>168000000</x:v>
      </x:c>
      <x:c r="N14" s="8" t="n">
        <x:f>P14*5</x:f>
        <x:v>98000000</x:v>
      </x:c>
      <x:c r="O14" s="8" t="n">
        <x:f>Q14*40</x:f>
        <x:v>336000000</x:v>
      </x:c>
      <x:c r="P14" s="8" t="n">
        <x:f>ROUND(560000000*0.035,0)</x:f>
        <x:v>19600000</x:v>
      </x:c>
      <x:c r="Q14" s="8" t="n">
        <x:f>ROUND(560000000*0.015,0)</x:f>
        <x:v>8400000</x:v>
      </x:c>
      <x:c r="R14" s="8" t="n">
        <x:v>200</x:v>
      </x:c>
      <x:c r="S14" s="8" t="n">
        <x:f>SUM(J14:M14,P14:Q14)</x:f>
        <x:v>560000000</x:v>
      </x:c>
    </x:row>
    <x:row r="15" ht="34" customHeight="1">
      <x:c r="A15" s="3" t="n">
        <x:v>10</x:v>
      </x:c>
      <x:c r="B15" s="3" t="str">
        <x:v>Pajak &amp; Asuransi</x:v>
      </x:c>
      <x:c r="C15" s="3" t="str">
        <x:v>tagihan_pajak</x:v>
      </x:c>
      <x:c r="D15" s="3" t="n">
        <x:v>2</x:v>
      </x:c>
      <x:c r="E15" s="3" t="n">
        <x:v>0</x:v>
      </x:c>
      <x:c r="F15" s="3" t="n">
        <x:v>0</x:v>
      </x:c>
      <x:c r="G15" s="3" t="n">
        <x:v>0</x:v>
      </x:c>
      <x:c r="H15" s="3" t="n">
        <x:v>0</x:v>
      </x:c>
      <x:c r="I15" s="3" t="n">
        <x:v>0</x:v>
      </x:c>
      <x:c r="J15" s="8" t="n">
        <x:f>ROUND(160000000*0.55,0)</x:f>
        <x:v>88000000</x:v>
      </x:c>
      <x:c r="K15" s="8" t="n">
        <x:f>ROUND(160000000*0.06,0)</x:f>
        <x:v>9600000</x:v>
      </x:c>
      <x:c r="L15" s="8" t="n">
        <x:f>ROUND(160000000*0.04,0)</x:f>
        <x:v>6400000</x:v>
      </x:c>
      <x:c r="M15" s="8" t="n">
        <x:f>160000000-SUM(J15:L15,P15:Q15)</x:f>
        <x:v>48000000</x:v>
      </x:c>
      <x:c r="N15" s="8" t="n">
        <x:f>P15*5</x:f>
        <x:v>28000000</x:v>
      </x:c>
      <x:c r="O15" s="8" t="n">
        <x:f>Q15*40</x:f>
        <x:v>96000000</x:v>
      </x:c>
      <x:c r="P15" s="8" t="n">
        <x:f>ROUND(160000000*0.035,0)</x:f>
        <x:v>5600000</x:v>
      </x:c>
      <x:c r="Q15" s="8" t="n">
        <x:f>ROUND(160000000*0.015,0)</x:f>
        <x:v>2400000</x:v>
      </x:c>
      <x:c r="R15" s="8" t="n">
        <x:v>30</x:v>
      </x:c>
      <x:c r="S15" s="8" t="n">
        <x:f>SUM(J15:M15,P15:Q15)</x:f>
        <x:v>160000000</x:v>
      </x:c>
    </x:row>
    <x:row r="16" ht="34" customHeight="1">
      <x:c r="A16" s="3" t="n">
        <x:v>11</x:v>
      </x:c>
      <x:c r="B16" s="3" t="str">
        <x:v>Sewa dan Kerja Sama Operasional</x:v>
      </x:c>
      <x:c r="C16" s="3" t="str">
        <x:v>luas_lantai</x:v>
      </x:c>
      <x:c r="D16" s="3" t="n">
        <x:v>2</x:v>
      </x:c>
      <x:c r="E16" s="3" t="n">
        <x:v>0</x:v>
      </x:c>
      <x:c r="F16" s="3" t="n">
        <x:v>0</x:v>
      </x:c>
      <x:c r="G16" s="3" t="n">
        <x:v>0</x:v>
      </x:c>
      <x:c r="H16" s="3" t="n">
        <x:v>0</x:v>
      </x:c>
      <x:c r="I16" s="3" t="n">
        <x:v>0</x:v>
      </x:c>
      <x:c r="J16" s="8" t="n">
        <x:f>ROUND(160000000*0.55,0)</x:f>
        <x:v>88000000</x:v>
      </x:c>
      <x:c r="K16" s="8" t="n">
        <x:f>ROUND(160000000*0.06,0)</x:f>
        <x:v>9600000</x:v>
      </x:c>
      <x:c r="L16" s="8" t="n">
        <x:f>ROUND(160000000*0.04,0)</x:f>
        <x:v>6400000</x:v>
      </x:c>
      <x:c r="M16" s="8" t="n">
        <x:f>160000000-SUM(J16:L16,P16:Q16)</x:f>
        <x:v>48000000</x:v>
      </x:c>
      <x:c r="N16" s="8" t="n">
        <x:f>P16*5</x:f>
        <x:v>28000000</x:v>
      </x:c>
      <x:c r="O16" s="8" t="n">
        <x:f>Q16*40</x:f>
        <x:v>96000000</x:v>
      </x:c>
      <x:c r="P16" s="8" t="n">
        <x:f>ROUND(160000000*0.035,0)</x:f>
        <x:v>5600000</x:v>
      </x:c>
      <x:c r="Q16" s="8" t="n">
        <x:f>ROUND(160000000*0.015,0)</x:f>
        <x:v>2400000</x:v>
      </x:c>
      <x:c r="R16" s="8" t="n">
        <x:v>40</x:v>
      </x:c>
      <x:c r="S16" s="8" t="n">
        <x:f>SUM(J16:M16,P16:Q16)</x:f>
        <x:v>160000000</x:v>
      </x:c>
    </x:row>
    <x:row r="17" ht="34" customHeight="1">
      <x:c r="A17" s="3" t="n">
        <x:v>12</x:v>
      </x:c>
      <x:c r="B17" s="3" t="str">
        <x:v>Parkir</x:v>
      </x:c>
      <x:c r="C17" s="3" t="str">
        <x:v>luas_lantai</x:v>
      </x:c>
      <x:c r="D17" s="3" t="n">
        <x:v>2</x:v>
      </x:c>
      <x:c r="E17" s="3" t="n">
        <x:v>0</x:v>
      </x:c>
      <x:c r="F17" s="3" t="n">
        <x:v>0</x:v>
      </x:c>
      <x:c r="G17" s="3" t="n">
        <x:v>0</x:v>
      </x:c>
      <x:c r="H17" s="3" t="n">
        <x:v>0</x:v>
      </x:c>
      <x:c r="I17" s="3" t="n">
        <x:v>0</x:v>
      </x:c>
      <x:c r="J17" s="8" t="n">
        <x:f>ROUND(160000000*0.55,0)</x:f>
        <x:v>88000000</x:v>
      </x:c>
      <x:c r="K17" s="8" t="n">
        <x:f>ROUND(160000000*0.06,0)</x:f>
        <x:v>9600000</x:v>
      </x:c>
      <x:c r="L17" s="8" t="n">
        <x:f>ROUND(160000000*0.04,0)</x:f>
        <x:v>6400000</x:v>
      </x:c>
      <x:c r="M17" s="8" t="n">
        <x:f>160000000-SUM(J17:L17,P17:Q17)</x:f>
        <x:v>48000000</x:v>
      </x:c>
      <x:c r="N17" s="8" t="n">
        <x:f>P17*5</x:f>
        <x:v>28000000</x:v>
      </x:c>
      <x:c r="O17" s="8" t="n">
        <x:f>Q17*40</x:f>
        <x:v>96000000</x:v>
      </x:c>
      <x:c r="P17" s="8" t="n">
        <x:f>ROUND(160000000*0.035,0)</x:f>
        <x:v>5600000</x:v>
      </x:c>
      <x:c r="Q17" s="8" t="n">
        <x:f>ROUND(160000000*0.015,0)</x:f>
        <x:v>2400000</x:v>
      </x:c>
      <x:c r="R17" s="8" t="n">
        <x:v>100</x:v>
      </x:c>
      <x:c r="S17" s="8" t="n">
        <x:f>SUM(J17:M17,P17:Q17)</x:f>
        <x:v>160000000</x:v>
      </x:c>
    </x:row>
    <x:row r="18" ht="34" customHeight="1">
      <x:c r="A18" s="6"/>
      <x:c r="B18" s="6" t="str">
        <x:v>TOTAL OVERHEAD</x:v>
      </x:c>
      <x:c r="C18" s="6"/>
      <x:c r="D18" s="6" t="n">
        <x:f>SUM(D6:D17)</x:f>
        <x:v>92</x:v>
      </x:c>
      <x:c r="E18" s="6" t="n">
        <x:f>SUM(E6:E17)</x:f>
        <x:v>0</x:v>
      </x:c>
      <x:c r="F18" s="6" t="n">
        <x:f>SUM(F6:F17)</x:f>
        <x:v>0</x:v>
      </x:c>
      <x:c r="G18" s="6" t="n">
        <x:f>SUM(G6:G17)</x:f>
        <x:v>0</x:v>
      </x:c>
      <x:c r="H18" s="6"/>
      <x:c r="I18" s="6" t="n">
        <x:f>SUM(I6:I17)</x:f>
        <x:v>0</x:v>
      </x:c>
      <x:c r="J18" s="15" t="n">
        <x:f>SUM(J6:J17)</x:f>
        <x:v>4048000000</x:v>
      </x:c>
      <x:c r="K18" s="15" t="n">
        <x:f>SUM(K6:K17)</x:f>
        <x:v>441600000</x:v>
      </x:c>
      <x:c r="L18" s="15" t="n">
        <x:f>SUM(L6:L17)</x:f>
        <x:v>294400000</x:v>
      </x:c>
      <x:c r="M18" s="15" t="n">
        <x:f>SUM(M6:M17)</x:f>
        <x:v>2208000000</x:v>
      </x:c>
      <x:c r="N18" s="15" t="n">
        <x:f>SUM(N6:N17)</x:f>
        <x:v>1288000000</x:v>
      </x:c>
      <x:c r="O18" s="15" t="n">
        <x:f>SUM(O6:O17)</x:f>
        <x:v>4416000000</x:v>
      </x:c>
      <x:c r="P18" s="15" t="n">
        <x:f>SUM(P6:P17)</x:f>
        <x:v>257600000</x:v>
      </x:c>
      <x:c r="Q18" s="15" t="n">
        <x:f>SUM(Q6:Q17)</x:f>
        <x:v>110400000</x:v>
      </x:c>
      <x:c r="R18" s="15" t="n">
        <x:f>SUM(R6:R17)</x:f>
        <x:v>1580</x:v>
      </x:c>
      <x:c r="S18" s="15" t="n">
        <x:f>SUM(S6:S17)</x:f>
        <x:v>7360000000</x:v>
      </x:c>
    </x:row>
    <x:row r="19" ht="34" customHeight="1">
      <x:c r="A19" s="3"/>
      <x:c r="B19" s="3"/>
      <x:c r="C19" s="3"/>
      <x:c r="D19" s="3"/>
      <x:c r="E19" s="3"/>
      <x:c r="F19" s="3"/>
      <x:c r="G19" s="3"/>
      <x:c r="H19" s="3"/>
      <x:c r="I19" s="3"/>
      <x:c r="J19" s="8"/>
      <x:c r="K19" s="8"/>
      <x:c r="L19" s="8"/>
      <x:c r="M19" s="8"/>
      <x:c r="N19" s="8"/>
      <x:c r="O19" s="8"/>
      <x:c r="P19" s="8"/>
      <x:c r="Q19" s="8"/>
      <x:c r="R19" s="8"/>
      <x:c r="S19" s="8"/>
    </x:row>
    <x:row r="20" ht="34" customHeight="1">
      <x:c r="A20" s="6" t="str">
        <x:v>B. PUSAT BIAYA PENUNJANG MEDIS (INTERMEDIATE)</x:v>
      </x:c>
      <x:c r="B20" s="6"/>
      <x:c r="C20" s="6"/>
      <x:c r="D20" s="6"/>
      <x:c r="E20" s="6"/>
      <x:c r="F20" s="6"/>
      <x:c r="G20" s="6"/>
      <x:c r="H20" s="6"/>
      <x:c r="I20" s="6"/>
      <x:c r="J20" s="15"/>
      <x:c r="K20" s="15"/>
      <x:c r="L20" s="15"/>
      <x:c r="M20" s="15"/>
      <x:c r="N20" s="15"/>
      <x:c r="O20" s="15"/>
      <x:c r="P20" s="15"/>
      <x:c r="Q20" s="15"/>
      <x:c r="R20" s="15"/>
      <x:c r="S20" s="15"/>
    </x:row>
    <x:row r="21" ht="60" customHeight="1">
      <x:c r="A21" s="6" t="str">
        <x:v>No</x:v>
      </x:c>
      <x:c r="B21" s="6" t="str">
        <x:v>Nama Unit / Pusat Biaya</x:v>
      </x:c>
      <x:c r="C21" s="6" t="str">
        <x:v>Dasar Alokasi</x:v>
      </x:c>
      <x:c r="D21" s="6" t="str">
        <x:v>Jumlah Staf</x:v>
      </x:c>
      <x:c r="E21" s="6" t="str">
        <x:v>Hari Rawat</x:v>
      </x:c>
      <x:c r="F21" s="6" t="str">
        <x:v>Pasien Pulang</x:v>
      </x:c>
      <x:c r="G21" s="6" t="str">
        <x:v>Jml Kunjungan</x:v>
      </x:c>
      <x:c r="H21" s="6" t="str">
        <x:v>ALOS</x:v>
      </x:c>
      <x:c r="I21" s="6" t="str">
        <x:v>Jml Tempat Tidur</x:v>
      </x:c>
      <x:c r="J21" s="15" t="str">
        <x:v>Biaya Gaji</x:v>
      </x:c>
      <x:c r="K21" s="15" t="str">
        <x:v>Biaya Jasa Medis</x:v>
      </x:c>
      <x:c r="L21" s="15" t="str">
        <x:v>Biaya Jasa Medis Lain</x:v>
      </x:c>
      <x:c r="M21" s="15" t="str">
        <x:v>Biaya Operasional</x:v>
      </x:c>
      <x:c r="N21" s="15" t="str">
        <x:v>Nilai Alat</x:v>
      </x:c>
      <x:c r="O21" s="15" t="str">
        <x:v>Investasi Gedung</x:v>
      </x:c>
      <x:c r="P21" s="15" t="str">
        <x:v>Dep. Peralatan (Otomatis)</x:v>
      </x:c>
      <x:c r="Q21" s="15" t="str">
        <x:v>Dep. Gedung (Otomatis)</x:v>
      </x:c>
      <x:c r="R21" s="15" t="str">
        <x:v>Luas Lantai (m²)</x:v>
      </x:c>
      <x:c r="S21" s="15" t="str">
        <x:v>Total Biaya Langsung (Otomatis)</x:v>
      </x:c>
    </x:row>
    <x:row r="22" ht="34" customHeight="1">
      <x:c r="A22" s="3" t="n">
        <x:v>1</x:v>
      </x:c>
      <x:c r="B22" s="3" t="str">
        <x:v>Farmasi</x:v>
      </x:c>
      <x:c r="C22" s="3" t="str">
        <x:v>resep_ddd</x:v>
      </x:c>
      <x:c r="D22" s="3" t="n">
        <x:v>31</x:v>
      </x:c>
      <x:c r="E22" s="3" t="n">
        <x:v>0</x:v>
      </x:c>
      <x:c r="F22" s="3" t="n">
        <x:v>0</x:v>
      </x:c>
      <x:c r="G22" s="3" t="n">
        <x:f>'Data Operasional'!F14</x:f>
        <x:v>320000</x:v>
      </x:c>
      <x:c r="H22" s="3" t="n">
        <x:v>0</x:v>
      </x:c>
      <x:c r="I22" s="3" t="n">
        <x:v>0</x:v>
      </x:c>
      <x:c r="J22" s="8" t="n">
        <x:f>ROUND(3100000000*0.55,0)</x:f>
        <x:v>1705000000</x:v>
      </x:c>
      <x:c r="K22" s="8" t="n">
        <x:f>ROUND(3100000000*0.06,0)</x:f>
        <x:v>186000000</x:v>
      </x:c>
      <x:c r="L22" s="8" t="n">
        <x:f>ROUND(3100000000*0.04,0)</x:f>
        <x:v>124000000</x:v>
      </x:c>
      <x:c r="M22" s="8" t="n">
        <x:f>3100000000-SUM(J22:L22,P22:Q22)</x:f>
        <x:v>930000000</x:v>
      </x:c>
      <x:c r="N22" s="8" t="n">
        <x:f>P22*5</x:f>
        <x:v>542500000</x:v>
      </x:c>
      <x:c r="O22" s="8" t="n">
        <x:f>Q22*40</x:f>
        <x:v>1860000000</x:v>
      </x:c>
      <x:c r="P22" s="8" t="n">
        <x:f>ROUND(3100000000*0.035,0)</x:f>
        <x:v>108500000</x:v>
      </x:c>
      <x:c r="Q22" s="8" t="n">
        <x:f>ROUND(3100000000*0.015,0)</x:f>
        <x:v>46500000</x:v>
      </x:c>
      <x:c r="R22" s="8" t="n">
        <x:v>400</x:v>
      </x:c>
      <x:c r="S22" s="8" t="n">
        <x:f>SUM(J22:M22,P22:Q22)</x:f>
        <x:v>3100000000</x:v>
      </x:c>
    </x:row>
    <x:row r="23" ht="34" customHeight="1">
      <x:c r="A23" s="3" t="n">
        <x:v>2</x:v>
      </x:c>
      <x:c r="B23" s="3" t="str">
        <x:v>Radiologi</x:v>
      </x:c>
      <x:c r="C23" s="3" t="str">
        <x:v>jumlah_pemeriksaan</x:v>
      </x:c>
      <x:c r="D23" s="3" t="n">
        <x:v>26</x:v>
      </x:c>
      <x:c r="E23" s="3" t="n">
        <x:v>0</x:v>
      </x:c>
      <x:c r="F23" s="3" t="n">
        <x:v>0</x:v>
      </x:c>
      <x:c r="G23" s="3" t="n">
        <x:f>'Data Operasional'!F15</x:f>
        <x:v>72000</x:v>
      </x:c>
      <x:c r="H23" s="3" t="n">
        <x:v>0</x:v>
      </x:c>
      <x:c r="I23" s="3" t="n">
        <x:v>0</x:v>
      </x:c>
      <x:c r="J23" s="8" t="n">
        <x:f>ROUND(2600000000*0.55,0)</x:f>
        <x:v>1430000000</x:v>
      </x:c>
      <x:c r="K23" s="8" t="n">
        <x:f>ROUND(2600000000*0.06,0)</x:f>
        <x:v>156000000</x:v>
      </x:c>
      <x:c r="L23" s="8" t="n">
        <x:f>ROUND(2600000000*0.04,0)</x:f>
        <x:v>104000000</x:v>
      </x:c>
      <x:c r="M23" s="8" t="n">
        <x:f>2600000000-SUM(J23:L23,P23:Q23)</x:f>
        <x:v>780000000</x:v>
      </x:c>
      <x:c r="N23" s="8" t="n">
        <x:f>P23*5</x:f>
        <x:v>455000000</x:v>
      </x:c>
      <x:c r="O23" s="8" t="n">
        <x:f>Q23*40</x:f>
        <x:v>1560000000</x:v>
      </x:c>
      <x:c r="P23" s="8" t="n">
        <x:f>ROUND(2600000000*0.035,0)</x:f>
        <x:v>91000000</x:v>
      </x:c>
      <x:c r="Q23" s="8" t="n">
        <x:f>ROUND(2600000000*0.015,0)</x:f>
        <x:v>39000000</x:v>
      </x:c>
      <x:c r="R23" s="8" t="n">
        <x:v>500</x:v>
      </x:c>
      <x:c r="S23" s="8" t="n">
        <x:f>SUM(J23:M23,P23:Q23)</x:f>
        <x:v>2600000000</x:v>
      </x:c>
    </x:row>
    <x:row r="24" ht="34" customHeight="1">
      <x:c r="A24" s="3" t="n">
        <x:v>3</x:v>
      </x:c>
      <x:c r="B24" s="3" t="str">
        <x:v>Laboratorium</x:v>
      </x:c>
      <x:c r="C24" s="3" t="str">
        <x:v>jumlah_test</x:v>
      </x:c>
      <x:c r="D24" s="3" t="n">
        <x:v>32</x:v>
      </x:c>
      <x:c r="E24" s="3" t="n">
        <x:v>0</x:v>
      </x:c>
      <x:c r="F24" s="3" t="n">
        <x:v>0</x:v>
      </x:c>
      <x:c r="G24" s="3" t="n">
        <x:f>'Data Operasional'!F16</x:f>
        <x:v>280000</x:v>
      </x:c>
      <x:c r="H24" s="3" t="n">
        <x:v>0</x:v>
      </x:c>
      <x:c r="I24" s="3" t="n">
        <x:v>0</x:v>
      </x:c>
      <x:c r="J24" s="8" t="n">
        <x:f>ROUND(3200000000*0.55,0)</x:f>
        <x:v>1760000000</x:v>
      </x:c>
      <x:c r="K24" s="8" t="n">
        <x:f>ROUND(3200000000*0.06,0)</x:f>
        <x:v>192000000</x:v>
      </x:c>
      <x:c r="L24" s="8" t="n">
        <x:f>ROUND(3200000000*0.04,0)</x:f>
        <x:v>128000000</x:v>
      </x:c>
      <x:c r="M24" s="8" t="n">
        <x:f>3200000000-SUM(J24:L24,P24:Q24)</x:f>
        <x:v>960000000</x:v>
      </x:c>
      <x:c r="N24" s="8" t="n">
        <x:f>P24*5</x:f>
        <x:v>560000000</x:v>
      </x:c>
      <x:c r="O24" s="8" t="n">
        <x:f>Q24*40</x:f>
        <x:v>1920000000</x:v>
      </x:c>
      <x:c r="P24" s="8" t="n">
        <x:f>ROUND(3200000000*0.035,0)</x:f>
        <x:v>112000000</x:v>
      </x:c>
      <x:c r="Q24" s="8" t="n">
        <x:f>ROUND(3200000000*0.015,0)</x:f>
        <x:v>48000000</x:v>
      </x:c>
      <x:c r="R24" s="8" t="n">
        <x:v>500</x:v>
      </x:c>
      <x:c r="S24" s="8" t="n">
        <x:f>SUM(J24:M24,P24:Q24)</x:f>
        <x:v>3200000000</x:v>
      </x:c>
    </x:row>
    <x:row r="25" ht="34" customHeight="1">
      <x:c r="A25" s="3" t="n">
        <x:v>4</x:v>
      </x:c>
      <x:c r="B25" s="3" t="str">
        <x:v>Instalasi Rehabilitasi Medik (Penunjang)</x:v>
      </x:c>
      <x:c r="C25" s="3" t="str">
        <x:v>jumlah_terapi</x:v>
      </x:c>
      <x:c r="D25" s="3" t="n">
        <x:v>20</x:v>
      </x:c>
      <x:c r="E25" s="3" t="n">
        <x:v>0</x:v>
      </x:c>
      <x:c r="F25" s="3" t="n">
        <x:v>0</x:v>
      </x:c>
      <x:c r="G25" s="3" t="n">
        <x:f>'Data Operasional'!F17</x:f>
        <x:v>45000</x:v>
      </x:c>
      <x:c r="H25" s="3" t="n">
        <x:v>0</x:v>
      </x:c>
      <x:c r="I25" s="3" t="n">
        <x:v>0</x:v>
      </x:c>
      <x:c r="J25" s="8" t="n">
        <x:f>ROUND(2000000000*0.55,0)</x:f>
        <x:v>1100000000</x:v>
      </x:c>
      <x:c r="K25" s="8" t="n">
        <x:f>ROUND(2000000000*0.06,0)</x:f>
        <x:v>120000000</x:v>
      </x:c>
      <x:c r="L25" s="8" t="n">
        <x:f>ROUND(2000000000*0.04,0)</x:f>
        <x:v>80000000</x:v>
      </x:c>
      <x:c r="M25" s="8" t="n">
        <x:f>2000000000-SUM(J25:L25,P25:Q25)</x:f>
        <x:v>600000000</x:v>
      </x:c>
      <x:c r="N25" s="8" t="n">
        <x:f>P25*5</x:f>
        <x:v>350000000</x:v>
      </x:c>
      <x:c r="O25" s="8" t="n">
        <x:f>Q25*40</x:f>
        <x:v>1200000000</x:v>
      </x:c>
      <x:c r="P25" s="8" t="n">
        <x:f>ROUND(2000000000*0.035,0)</x:f>
        <x:v>70000000</x:v>
      </x:c>
      <x:c r="Q25" s="8" t="n">
        <x:f>ROUND(2000000000*0.015,0)</x:f>
        <x:v>30000000</x:v>
      </x:c>
      <x:c r="R25" s="8" t="n">
        <x:v>350</x:v>
      </x:c>
      <x:c r="S25" s="8" t="n">
        <x:f>SUM(J25:M25,P25:Q25)</x:f>
        <x:v>2000000000</x:v>
      </x:c>
    </x:row>
    <x:row r="26" ht="34" customHeight="1">
      <x:c r="A26" s="3" t="n">
        <x:v>5</x:v>
      </x:c>
      <x:c r="B26" s="3" t="str">
        <x:v>Rehabilitasi Psikososial</x:v>
      </x:c>
      <x:c r="C26" s="3" t="str">
        <x:v>jumlah_pasien</x:v>
      </x:c>
      <x:c r="D26" s="3" t="n">
        <x:v>6</x:v>
      </x:c>
      <x:c r="E26" s="3" t="n">
        <x:v>0</x:v>
      </x:c>
      <x:c r="F26" s="3" t="n">
        <x:v>0</x:v>
      </x:c>
      <x:c r="G26" s="3" t="n">
        <x:f>'Data Operasional'!F18</x:f>
        <x:v>18000</x:v>
      </x:c>
      <x:c r="H26" s="3" t="n">
        <x:v>0</x:v>
      </x:c>
      <x:c r="I26" s="3" t="n">
        <x:v>0</x:v>
      </x:c>
      <x:c r="J26" s="8" t="n">
        <x:f>ROUND(600000000*0.55,0)</x:f>
        <x:v>330000000</x:v>
      </x:c>
      <x:c r="K26" s="8" t="n">
        <x:f>ROUND(600000000*0.06,0)</x:f>
        <x:v>36000000</x:v>
      </x:c>
      <x:c r="L26" s="8" t="n">
        <x:f>ROUND(600000000*0.04,0)</x:f>
        <x:v>24000000</x:v>
      </x:c>
      <x:c r="M26" s="8" t="n">
        <x:f>600000000-SUM(J26:L26,P26:Q26)</x:f>
        <x:v>180000000</x:v>
      </x:c>
      <x:c r="N26" s="8" t="n">
        <x:f>P26*5</x:f>
        <x:v>105000000</x:v>
      </x:c>
      <x:c r="O26" s="8" t="n">
        <x:f>Q26*40</x:f>
        <x:v>360000000</x:v>
      </x:c>
      <x:c r="P26" s="8" t="n">
        <x:f>ROUND(600000000*0.035,0)</x:f>
        <x:v>21000000</x:v>
      </x:c>
      <x:c r="Q26" s="8" t="n">
        <x:f>ROUND(600000000*0.015,0)</x:f>
        <x:v>9000000</x:v>
      </x:c>
      <x:c r="R26" s="8" t="n">
        <x:v>120</x:v>
      </x:c>
      <x:c r="S26" s="8" t="n">
        <x:f>SUM(J26:M26,P26:Q26)</x:f>
        <x:v>600000000</x:v>
      </x:c>
    </x:row>
    <x:row r="27" ht="34" customHeight="1">
      <x:c r="A27" s="3" t="n">
        <x:v>6</x:v>
      </x:c>
      <x:c r="B27" s="3" t="str">
        <x:v>Instalasi Bedah Sentral (IBS)</x:v>
      </x:c>
      <x:c r="C27" s="3" t="str">
        <x:v>jam_operasi</x:v>
      </x:c>
      <x:c r="D27" s="3" t="n">
        <x:v>46</x:v>
      </x:c>
      <x:c r="E27" s="3" t="n">
        <x:v>0</x:v>
      </x:c>
      <x:c r="F27" s="3" t="n">
        <x:v>0</x:v>
      </x:c>
      <x:c r="G27" s="3" t="n">
        <x:f>'Data Operasional'!F19</x:f>
        <x:v>24000</x:v>
      </x:c>
      <x:c r="H27" s="3" t="n">
        <x:v>0</x:v>
      </x:c>
      <x:c r="I27" s="3" t="n">
        <x:v>0</x:v>
      </x:c>
      <x:c r="J27" s="8" t="n">
        <x:f>ROUND(4600000000*0.55,0)</x:f>
        <x:v>2530000000</x:v>
      </x:c>
      <x:c r="K27" s="8" t="n">
        <x:f>ROUND(4600000000*0.06,0)</x:f>
        <x:v>276000000</x:v>
      </x:c>
      <x:c r="L27" s="8" t="n">
        <x:f>ROUND(4600000000*0.04,0)</x:f>
        <x:v>184000000</x:v>
      </x:c>
      <x:c r="M27" s="8" t="n">
        <x:f>4600000000-SUM(J27:L27,P27:Q27)</x:f>
        <x:v>1380000000</x:v>
      </x:c>
      <x:c r="N27" s="8" t="n">
        <x:f>P27*5</x:f>
        <x:v>805000000</x:v>
      </x:c>
      <x:c r="O27" s="8" t="n">
        <x:f>Q27*40</x:f>
        <x:v>2760000000</x:v>
      </x:c>
      <x:c r="P27" s="8" t="n">
        <x:f>ROUND(4600000000*0.035,0)</x:f>
        <x:v>161000000</x:v>
      </x:c>
      <x:c r="Q27" s="8" t="n">
        <x:f>ROUND(4600000000*0.015,0)</x:f>
        <x:v>69000000</x:v>
      </x:c>
      <x:c r="R27" s="8" t="n">
        <x:v>800</x:v>
      </x:c>
      <x:c r="S27" s="8" t="n">
        <x:f>SUM(J27:M27,P27:Q27)</x:f>
        <x:v>4600000000</x:v>
      </x:c>
    </x:row>
    <x:row r="28" ht="34" customHeight="1">
      <x:c r="A28" s="3" t="n">
        <x:v>7</x:v>
      </x:c>
      <x:c r="B28" s="3" t="str">
        <x:v>Instalasi Gizi</x:v>
      </x:c>
      <x:c r="C28" s="3" t="str">
        <x:v>hari_rawat</x:v>
      </x:c>
      <x:c r="D28" s="3" t="n">
        <x:v>13</x:v>
      </x:c>
      <x:c r="E28" s="3" t="n">
        <x:v>0</x:v>
      </x:c>
      <x:c r="F28" s="3" t="n">
        <x:v>0</x:v>
      </x:c>
      <x:c r="G28" s="3" t="n">
        <x:f>'Data Operasional'!F20</x:f>
        <x:v>86505</x:v>
      </x:c>
      <x:c r="H28" s="3" t="n">
        <x:v>0</x:v>
      </x:c>
      <x:c r="I28" s="3" t="n">
        <x:v>0</x:v>
      </x:c>
      <x:c r="J28" s="8" t="n">
        <x:f>ROUND(1300000000*0.55,0)</x:f>
        <x:v>715000000</x:v>
      </x:c>
      <x:c r="K28" s="8" t="n">
        <x:f>ROUND(1300000000*0.06,0)</x:f>
        <x:v>78000000</x:v>
      </x:c>
      <x:c r="L28" s="8" t="n">
        <x:f>ROUND(1300000000*0.04,0)</x:f>
        <x:v>52000000</x:v>
      </x:c>
      <x:c r="M28" s="8" t="n">
        <x:f>1300000000-SUM(J28:L28,P28:Q28)</x:f>
        <x:v>390000000</x:v>
      </x:c>
      <x:c r="N28" s="8" t="n">
        <x:f>P28*5</x:f>
        <x:v>227500000</x:v>
      </x:c>
      <x:c r="O28" s="8" t="n">
        <x:f>Q28*40</x:f>
        <x:v>780000000</x:v>
      </x:c>
      <x:c r="P28" s="8" t="n">
        <x:f>ROUND(1300000000*0.035,0)</x:f>
        <x:v>45500000</x:v>
      </x:c>
      <x:c r="Q28" s="8" t="n">
        <x:f>ROUND(1300000000*0.015,0)</x:f>
        <x:v>19500000</x:v>
      </x:c>
      <x:c r="R28" s="8" t="n">
        <x:v>400</x:v>
      </x:c>
      <x:c r="S28" s="8" t="n">
        <x:f>SUM(J28:M28,P28:Q28)</x:f>
        <x:v>1300000000</x:v>
      </x:c>
    </x:row>
    <x:row r="29" ht="34" customHeight="1">
      <x:c r="A29" s="3" t="n">
        <x:v>8</x:v>
      </x:c>
      <x:c r="B29" s="3" t="str">
        <x:v>Laundry Rumah Sakit</x:v>
      </x:c>
      <x:c r="C29" s="3" t="str">
        <x:v>hari_rawat</x:v>
      </x:c>
      <x:c r="D29" s="3" t="n">
        <x:v>8</x:v>
      </x:c>
      <x:c r="E29" s="3" t="n">
        <x:v>0</x:v>
      </x:c>
      <x:c r="F29" s="3" t="n">
        <x:v>0</x:v>
      </x:c>
      <x:c r="G29" s="3" t="n">
        <x:f>'Data Operasional'!F21</x:f>
        <x:v>86505</x:v>
      </x:c>
      <x:c r="H29" s="3" t="n">
        <x:v>0</x:v>
      </x:c>
      <x:c r="I29" s="3" t="n">
        <x:v>0</x:v>
      </x:c>
      <x:c r="J29" s="8" t="n">
        <x:f>ROUND(800000000*0.55,0)</x:f>
        <x:v>440000000</x:v>
      </x:c>
      <x:c r="K29" s="8" t="n">
        <x:f>ROUND(800000000*0.06,0)</x:f>
        <x:v>48000000</x:v>
      </x:c>
      <x:c r="L29" s="8" t="n">
        <x:f>ROUND(800000000*0.04,0)</x:f>
        <x:v>32000000</x:v>
      </x:c>
      <x:c r="M29" s="8" t="n">
        <x:f>800000000-SUM(J29:L29,P29:Q29)</x:f>
        <x:v>240000000</x:v>
      </x:c>
      <x:c r="N29" s="8" t="n">
        <x:f>P29*5</x:f>
        <x:v>140000000</x:v>
      </x:c>
      <x:c r="O29" s="8" t="n">
        <x:f>Q29*40</x:f>
        <x:v>480000000</x:v>
      </x:c>
      <x:c r="P29" s="8" t="n">
        <x:f>ROUND(800000000*0.035,0)</x:f>
        <x:v>28000000</x:v>
      </x:c>
      <x:c r="Q29" s="8" t="n">
        <x:f>ROUND(800000000*0.015,0)</x:f>
        <x:v>12000000</x:v>
      </x:c>
      <x:c r="R29" s="8" t="n">
        <x:v>200</x:v>
      </x:c>
      <x:c r="S29" s="8" t="n">
        <x:f>SUM(J29:M29,P29:Q29)</x:f>
        <x:v>800000000</x:v>
      </x:c>
    </x:row>
    <x:row r="30" ht="34" customHeight="1">
      <x:c r="A30" s="3" t="n">
        <x:v>9</x:v>
      </x:c>
      <x:c r="B30" s="3" t="str">
        <x:v>Unit Sterilisasi Alat (CSSD)</x:v>
      </x:c>
      <x:c r="C30" s="3" t="str">
        <x:v>jumlah_tindakan</x:v>
      </x:c>
      <x:c r="D30" s="3" t="n">
        <x:v>9</x:v>
      </x:c>
      <x:c r="E30" s="3" t="n">
        <x:v>0</x:v>
      </x:c>
      <x:c r="F30" s="3" t="n">
        <x:v>0</x:v>
      </x:c>
      <x:c r="G30" s="3" t="n">
        <x:f>'Data Operasional'!F22</x:f>
        <x:v>65000</x:v>
      </x:c>
      <x:c r="H30" s="3" t="n">
        <x:v>0</x:v>
      </x:c>
      <x:c r="I30" s="3" t="n">
        <x:v>0</x:v>
      </x:c>
      <x:c r="J30" s="8" t="n">
        <x:f>ROUND(900000000*0.55,0)</x:f>
        <x:v>495000000</x:v>
      </x:c>
      <x:c r="K30" s="8" t="n">
        <x:f>ROUND(900000000*0.06,0)</x:f>
        <x:v>54000000</x:v>
      </x:c>
      <x:c r="L30" s="8" t="n">
        <x:f>ROUND(900000000*0.04,0)</x:f>
        <x:v>36000000</x:v>
      </x:c>
      <x:c r="M30" s="8" t="n">
        <x:f>900000000-SUM(J30:L30,P30:Q30)</x:f>
        <x:v>270000000</x:v>
      </x:c>
      <x:c r="N30" s="8" t="n">
        <x:f>P30*5</x:f>
        <x:v>157500000</x:v>
      </x:c>
      <x:c r="O30" s="8" t="n">
        <x:f>Q30*40</x:f>
        <x:v>540000000</x:v>
      </x:c>
      <x:c r="P30" s="8" t="n">
        <x:f>ROUND(900000000*0.035,0)</x:f>
        <x:v>31500000</x:v>
      </x:c>
      <x:c r="Q30" s="8" t="n">
        <x:f>ROUND(900000000*0.015,0)</x:f>
        <x:v>13500000</x:v>
      </x:c>
      <x:c r="R30" s="8" t="n">
        <x:v>180</x:v>
      </x:c>
      <x:c r="S30" s="8" t="n">
        <x:f>SUM(J30:M30,P30:Q30)</x:f>
        <x:v>900000000</x:v>
      </x:c>
    </x:row>
    <x:row r="31" ht="34" customHeight="1">
      <x:c r="A31" s="3" t="n">
        <x:v>10</x:v>
      </x:c>
      <x:c r="B31" s="3" t="str">
        <x:v>Gas Medis</x:v>
      </x:c>
      <x:c r="C31" s="3" t="str">
        <x:v>penggunaan</x:v>
      </x:c>
      <x:c r="D31" s="3" t="n">
        <x:v>3</x:v>
      </x:c>
      <x:c r="E31" s="3" t="n">
        <x:v>0</x:v>
      </x:c>
      <x:c r="F31" s="3" t="n">
        <x:v>0</x:v>
      </x:c>
      <x:c r="G31" s="3" t="n">
        <x:f>'Data Operasional'!F23</x:f>
        <x:v>38000</x:v>
      </x:c>
      <x:c r="H31" s="3" t="n">
        <x:v>0</x:v>
      </x:c>
      <x:c r="I31" s="3" t="n">
        <x:v>0</x:v>
      </x:c>
      <x:c r="J31" s="8" t="n">
        <x:f>ROUND(300000000*0.55,0)</x:f>
        <x:v>165000000</x:v>
      </x:c>
      <x:c r="K31" s="8" t="n">
        <x:f>ROUND(300000000*0.06,0)</x:f>
        <x:v>18000000</x:v>
      </x:c>
      <x:c r="L31" s="8" t="n">
        <x:f>ROUND(300000000*0.04,0)</x:f>
        <x:v>12000000</x:v>
      </x:c>
      <x:c r="M31" s="8" t="n">
        <x:f>300000000-SUM(J31:L31,P31:Q31)</x:f>
        <x:v>90000000</x:v>
      </x:c>
      <x:c r="N31" s="8" t="n">
        <x:f>P31*5</x:f>
        <x:v>52500000</x:v>
      </x:c>
      <x:c r="O31" s="8" t="n">
        <x:f>Q31*40</x:f>
        <x:v>180000000</x:v>
      </x:c>
      <x:c r="P31" s="8" t="n">
        <x:f>ROUND(300000000*0.035,0)</x:f>
        <x:v>10500000</x:v>
      </x:c>
      <x:c r="Q31" s="8" t="n">
        <x:f>ROUND(300000000*0.015,0)</x:f>
        <x:v>4500000</x:v>
      </x:c>
      <x:c r="R31" s="8" t="n">
        <x:v>80</x:v>
      </x:c>
      <x:c r="S31" s="8" t="n">
        <x:f>SUM(J31:M31,P31:Q31)</x:f>
        <x:v>300000000</x:v>
      </x:c>
    </x:row>
    <x:row r="32" ht="34" customHeight="1">
      <x:c r="A32" s="3" t="n">
        <x:v>11</x:v>
      </x:c>
      <x:c r="B32" s="3" t="str">
        <x:v>Bank Darah</x:v>
      </x:c>
      <x:c r="C32" s="3" t="str">
        <x:v>kantong_darah</x:v>
      </x:c>
      <x:c r="D32" s="3" t="n">
        <x:v>11</x:v>
      </x:c>
      <x:c r="E32" s="3" t="n">
        <x:v>0</x:v>
      </x:c>
      <x:c r="F32" s="3" t="n">
        <x:v>0</x:v>
      </x:c>
      <x:c r="G32" s="3" t="n">
        <x:f>'Data Operasional'!F24</x:f>
        <x:v>16000</x:v>
      </x:c>
      <x:c r="H32" s="3" t="n">
        <x:v>0</x:v>
      </x:c>
      <x:c r="I32" s="3" t="n">
        <x:v>0</x:v>
      </x:c>
      <x:c r="J32" s="8" t="n">
        <x:f>ROUND(1100000000*0.55,0)</x:f>
        <x:v>605000000</x:v>
      </x:c>
      <x:c r="K32" s="8" t="n">
        <x:f>ROUND(1100000000*0.06,0)</x:f>
        <x:v>66000000</x:v>
      </x:c>
      <x:c r="L32" s="8" t="n">
        <x:f>ROUND(1100000000*0.04,0)</x:f>
        <x:v>44000000</x:v>
      </x:c>
      <x:c r="M32" s="8" t="n">
        <x:f>1100000000-SUM(J32:L32,P32:Q32)</x:f>
        <x:v>330000000</x:v>
      </x:c>
      <x:c r="N32" s="8" t="n">
        <x:f>P32*5</x:f>
        <x:v>192500000</x:v>
      </x:c>
      <x:c r="O32" s="8" t="n">
        <x:f>Q32*40</x:f>
        <x:v>660000000</x:v>
      </x:c>
      <x:c r="P32" s="8" t="n">
        <x:f>ROUND(1100000000*0.035,0)</x:f>
        <x:v>38500000</x:v>
      </x:c>
      <x:c r="Q32" s="8" t="n">
        <x:f>ROUND(1100000000*0.015,0)</x:f>
        <x:v>16500000</x:v>
      </x:c>
      <x:c r="R32" s="8" t="n">
        <x:v>120</x:v>
      </x:c>
      <x:c r="S32" s="8" t="n">
        <x:f>SUM(J32:M32,P32:Q32)</x:f>
        <x:v>1100000000</x:v>
      </x:c>
    </x:row>
    <x:row r="33" ht="34" customHeight="1">
      <x:c r="A33" s="3" t="n">
        <x:v>12</x:v>
      </x:c>
      <x:c r="B33" s="3" t="str">
        <x:v>Bank Jaringan</x:v>
      </x:c>
      <x:c r="C33" s="3" t="str">
        <x:v>jaringan</x:v>
      </x:c>
      <x:c r="D33" s="3" t="n">
        <x:v>3</x:v>
      </x:c>
      <x:c r="E33" s="3" t="n">
        <x:v>0</x:v>
      </x:c>
      <x:c r="F33" s="3" t="n">
        <x:v>0</x:v>
      </x:c>
      <x:c r="G33" s="3" t="n">
        <x:f>'Data Operasional'!F25</x:f>
        <x:v>3000</x:v>
      </x:c>
      <x:c r="H33" s="3" t="n">
        <x:v>0</x:v>
      </x:c>
      <x:c r="I33" s="3" t="n">
        <x:v>0</x:v>
      </x:c>
      <x:c r="J33" s="8" t="n">
        <x:f>ROUND(300000000*0.55,0)</x:f>
        <x:v>165000000</x:v>
      </x:c>
      <x:c r="K33" s="8" t="n">
        <x:f>ROUND(300000000*0.06,0)</x:f>
        <x:v>18000000</x:v>
      </x:c>
      <x:c r="L33" s="8" t="n">
        <x:f>ROUND(300000000*0.04,0)</x:f>
        <x:v>12000000</x:v>
      </x:c>
      <x:c r="M33" s="8" t="n">
        <x:f>300000000-SUM(J33:L33,P33:Q33)</x:f>
        <x:v>90000000</x:v>
      </x:c>
      <x:c r="N33" s="8" t="n">
        <x:f>P33*5</x:f>
        <x:v>52500000</x:v>
      </x:c>
      <x:c r="O33" s="8" t="n">
        <x:f>Q33*40</x:f>
        <x:v>180000000</x:v>
      </x:c>
      <x:c r="P33" s="8" t="n">
        <x:f>ROUND(300000000*0.035,0)</x:f>
        <x:v>10500000</x:v>
      </x:c>
      <x:c r="Q33" s="8" t="n">
        <x:f>ROUND(300000000*0.015,0)</x:f>
        <x:v>4500000</x:v>
      </x:c>
      <x:c r="R33" s="8" t="n">
        <x:v>60</x:v>
      </x:c>
      <x:c r="S33" s="8" t="n">
        <x:f>SUM(J33:M33,P33:Q33)</x:f>
        <x:v>300000000</x:v>
      </x:c>
    </x:row>
    <x:row r="34" ht="34" customHeight="1">
      <x:c r="A34" s="6"/>
      <x:c r="B34" s="6" t="str">
        <x:v>TOTAL INTERMEDIATE</x:v>
      </x:c>
      <x:c r="C34" s="6"/>
      <x:c r="D34" s="6" t="n">
        <x:f>SUM(D22:D33)</x:f>
        <x:v>208</x:v>
      </x:c>
      <x:c r="E34" s="6" t="n">
        <x:f>SUM(E22:E33)</x:f>
        <x:v>0</x:v>
      </x:c>
      <x:c r="F34" s="6" t="n">
        <x:f>SUM(F22:F33)</x:f>
        <x:v>0</x:v>
      </x:c>
      <x:c r="G34" s="6" t="n">
        <x:f>SUM(G22:G33)</x:f>
        <x:v>1054010</x:v>
      </x:c>
      <x:c r="H34" s="6"/>
      <x:c r="I34" s="6" t="n">
        <x:f>SUM(I22:I33)</x:f>
        <x:v>0</x:v>
      </x:c>
      <x:c r="J34" s="15" t="n">
        <x:f>SUM(J22:J33)</x:f>
        <x:v>11440000000</x:v>
      </x:c>
      <x:c r="K34" s="15" t="n">
        <x:f>SUM(K22:K33)</x:f>
        <x:v>1248000000</x:v>
      </x:c>
      <x:c r="L34" s="15" t="n">
        <x:f>SUM(L22:L33)</x:f>
        <x:v>832000000</x:v>
      </x:c>
      <x:c r="M34" s="15" t="n">
        <x:f>SUM(M22:M33)</x:f>
        <x:v>6240000000</x:v>
      </x:c>
      <x:c r="N34" s="15" t="n">
        <x:f>SUM(N22:N33)</x:f>
        <x:v>3640000000</x:v>
      </x:c>
      <x:c r="O34" s="15" t="n">
        <x:f>SUM(O22:O33)</x:f>
        <x:v>12480000000</x:v>
      </x:c>
      <x:c r="P34" s="15" t="n">
        <x:f>SUM(P22:P33)</x:f>
        <x:v>728000000</x:v>
      </x:c>
      <x:c r="Q34" s="15" t="n">
        <x:f>SUM(Q22:Q33)</x:f>
        <x:v>312000000</x:v>
      </x:c>
      <x:c r="R34" s="15" t="n">
        <x:f>SUM(R22:R33)</x:f>
        <x:v>3710</x:v>
      </x:c>
      <x:c r="S34" s="15" t="n">
        <x:f>SUM(S22:S33)</x:f>
        <x:v>20800000000</x:v>
      </x:c>
    </x:row>
    <x:row r="35" ht="34" customHeight="1">
      <x:c r="A35" s="3"/>
      <x:c r="B35" s="3"/>
      <x:c r="C35" s="3"/>
      <x:c r="D35" s="3"/>
      <x:c r="E35" s="3"/>
      <x:c r="F35" s="3"/>
      <x:c r="G35" s="3"/>
      <x:c r="H35" s="3"/>
      <x:c r="I35" s="3"/>
      <x:c r="J35" s="8"/>
      <x:c r="K35" s="8"/>
      <x:c r="L35" s="8"/>
      <x:c r="M35" s="8"/>
      <x:c r="N35" s="8"/>
      <x:c r="O35" s="8"/>
      <x:c r="P35" s="8"/>
      <x:c r="Q35" s="8"/>
      <x:c r="R35" s="8"/>
      <x:c r="S35" s="8"/>
    </x:row>
    <x:row r="36" ht="34" customHeight="1">
      <x:c r="A36" s="6" t="str">
        <x:v>C. PUSAT BIAYA UTAMA (LAYANAN PASIEN)</x:v>
      </x:c>
      <x:c r="B36" s="6"/>
      <x:c r="C36" s="6"/>
      <x:c r="D36" s="6"/>
      <x:c r="E36" s="6"/>
      <x:c r="F36" s="6"/>
      <x:c r="G36" s="6"/>
      <x:c r="H36" s="6"/>
      <x:c r="I36" s="6"/>
      <x:c r="J36" s="15"/>
      <x:c r="K36" s="15"/>
      <x:c r="L36" s="15"/>
      <x:c r="M36" s="15"/>
      <x:c r="N36" s="15"/>
      <x:c r="O36" s="15"/>
      <x:c r="P36" s="15"/>
      <x:c r="Q36" s="15"/>
      <x:c r="R36" s="15"/>
      <x:c r="S36" s="15"/>
    </x:row>
    <x:row r="37" ht="60" customHeight="1">
      <x:c r="A37" s="6" t="str">
        <x:v>No</x:v>
      </x:c>
      <x:c r="B37" s="6" t="str">
        <x:v>Nama Unit / Pusat Biaya</x:v>
      </x:c>
      <x:c r="C37" s="6" t="str">
        <x:v>Dasar Alokasi</x:v>
      </x:c>
      <x:c r="D37" s="6" t="str">
        <x:v>Jumlah Staf</x:v>
      </x:c>
      <x:c r="E37" s="6" t="str">
        <x:v>Hari Rawat</x:v>
      </x:c>
      <x:c r="F37" s="6" t="str">
        <x:v>Pasien Pulang</x:v>
      </x:c>
      <x:c r="G37" s="6" t="str">
        <x:v>Jml Kunjungan</x:v>
      </x:c>
      <x:c r="H37" s="6" t="str">
        <x:v>ALOS</x:v>
      </x:c>
      <x:c r="I37" s="6" t="str">
        <x:v>Jml Tempat Tidur</x:v>
      </x:c>
      <x:c r="J37" s="15" t="str">
        <x:v>Biaya Gaji</x:v>
      </x:c>
      <x:c r="K37" s="15" t="str">
        <x:v>Biaya Jasa Medis</x:v>
      </x:c>
      <x:c r="L37" s="15" t="str">
        <x:v>Biaya Jasa Medis Lain</x:v>
      </x:c>
      <x:c r="M37" s="15" t="str">
        <x:v>Biaya Operasional</x:v>
      </x:c>
      <x:c r="N37" s="15" t="str">
        <x:v>Nilai Alat</x:v>
      </x:c>
      <x:c r="O37" s="15" t="str">
        <x:v>Investasi Gedung</x:v>
      </x:c>
      <x:c r="P37" s="15" t="str">
        <x:v>Dep. Peralatan (Otomatis)</x:v>
      </x:c>
      <x:c r="Q37" s="15" t="str">
        <x:v>Dep. Gedung (Otomatis)</x:v>
      </x:c>
      <x:c r="R37" s="15" t="str">
        <x:v>Luas Lantai (m²)</x:v>
      </x:c>
      <x:c r="S37" s="15" t="str">
        <x:v>Total Biaya Langsung (Otomatis)</x:v>
      </x:c>
    </x:row>
    <x:row r="38" ht="34" customHeight="1">
      <x:c r="A38" s="3" t="n">
        <x:v>1</x:v>
      </x:c>
      <x:c r="B38" s="3" t="str">
        <x:v>Kamar Rawat Inap Standar (KRIS) C</x:v>
      </x:c>
      <x:c r="C38" s="3" t="str">
        <x:v>hari_rawat</x:v>
      </x:c>
      <x:c r="D38" s="3" t="n">
        <x:v>77</x:v>
      </x:c>
      <x:c r="E38" s="3" t="n">
        <x:f>'Data Operasional'!G26</x:f>
        <x:v>43800</x:v>
      </x:c>
      <x:c r="F38" s="3" t="n">
        <x:f>'Data Operasional'!F26</x:f>
        <x:v>8760</x:v>
      </x:c>
      <x:c r="G38" s="3" t="n">
        <x:v>0</x:v>
      </x:c>
      <x:c r="H38" s="7" t="n">
        <x:f>'Data Operasional'!I26</x:f>
        <x:v>5</x:v>
      </x:c>
      <x:c r="I38" s="3" t="n">
        <x:v>150</x:v>
      </x:c>
      <x:c r="J38" s="8" t="n">
        <x:f>ROUND('Rumus Perhitungan'!E13*0.55,0)</x:f>
        <x:v>7287023333</x:v>
      </x:c>
      <x:c r="K38" s="8" t="n">
        <x:f>ROUND('Rumus Perhitungan'!E13*0.06,0)</x:f>
        <x:v>794948000</x:v>
      </x:c>
      <x:c r="L38" s="8" t="n">
        <x:f>ROUND('Rumus Perhitungan'!E13*0.04,0)</x:f>
        <x:v>529965333</x:v>
      </x:c>
      <x:c r="M38" s="8" t="n">
        <x:f>'Rumus Perhitungan'!E13-SUM(J38:L38,P38:Q38)</x:f>
        <x:v>3974740000</x:v>
      </x:c>
      <x:c r="N38" s="8" t="n">
        <x:f>P38*5</x:f>
        <x:v>2318598335</x:v>
      </x:c>
      <x:c r="O38" s="8" t="n">
        <x:f>Q38*40</x:f>
        <x:v>7949480000</x:v>
      </x:c>
      <x:c r="P38" s="8" t="n">
        <x:f>ROUND('Rumus Perhitungan'!E13*0.035,0)</x:f>
        <x:v>463719667</x:v>
      </x:c>
      <x:c r="Q38" s="8" t="n">
        <x:f>ROUND('Rumus Perhitungan'!E13*0.015,0)</x:f>
        <x:v>198737000</x:v>
      </x:c>
      <x:c r="R38" s="8" t="n">
        <x:v>1500</x:v>
      </x:c>
      <x:c r="S38" s="8" t="n">
        <x:f>SUM(J38:M38,P38:Q38)</x:f>
        <x:v>13249133333</x:v>
      </x:c>
    </x:row>
    <x:row r="39" ht="34" customHeight="1">
      <x:c r="A39" s="3" t="n">
        <x:v>2</x:v>
      </x:c>
      <x:c r="B39" s="3" t="str">
        <x:v>Kamar Rawat Inap Standar (KRIS) B</x:v>
      </x:c>
      <x:c r="C39" s="3" t="str">
        <x:v>hari_rawat</x:v>
      </x:c>
      <x:c r="D39" s="3" t="n">
        <x:v>40</x:v>
      </x:c>
      <x:c r="E39" s="3" t="n">
        <x:f>'Data Operasional'!G27</x:f>
        <x:v>20440</x:v>
      </x:c>
      <x:c r="F39" s="3" t="n">
        <x:f>'Data Operasional'!F27</x:f>
        <x:v>5110</x:v>
      </x:c>
      <x:c r="G39" s="3" t="n">
        <x:v>0</x:v>
      </x:c>
      <x:c r="H39" s="7" t="n">
        <x:f>'Data Operasional'!I27</x:f>
        <x:v>4</x:v>
      </x:c>
      <x:c r="I39" s="3" t="n">
        <x:v>70</x:v>
      </x:c>
      <x:c r="J39" s="8" t="n">
        <x:f>ROUND('Rumus Perhitungan'!E14*0.55,0)</x:f>
        <x:v>4082576667</x:v>
      </x:c>
      <x:c r="K39" s="8" t="n">
        <x:f>ROUND('Rumus Perhitungan'!E14*0.06,0)</x:f>
        <x:v>445372000</x:v>
      </x:c>
      <x:c r="L39" s="8" t="n">
        <x:f>ROUND('Rumus Perhitungan'!E14*0.04,0)</x:f>
        <x:v>296914667</x:v>
      </x:c>
      <x:c r="M39" s="8" t="n">
        <x:f>'Rumus Perhitungan'!E14-SUM(J39:L39,P39:Q39)</x:f>
        <x:v>2226860000</x:v>
      </x:c>
      <x:c r="N39" s="8" t="n">
        <x:f>P39*5</x:f>
        <x:v>1299001665</x:v>
      </x:c>
      <x:c r="O39" s="8" t="n">
        <x:f>Q39*40</x:f>
        <x:v>4453720000</x:v>
      </x:c>
      <x:c r="P39" s="8" t="n">
        <x:f>ROUND('Rumus Perhitungan'!E14*0.035,0)</x:f>
        <x:v>259800333</x:v>
      </x:c>
      <x:c r="Q39" s="8" t="n">
        <x:f>ROUND('Rumus Perhitungan'!E14*0.015,0)</x:f>
        <x:v>111343000</x:v>
      </x:c>
      <x:c r="R39" s="8" t="n">
        <x:v>840</x:v>
      </x:c>
      <x:c r="S39" s="8" t="n">
        <x:f>SUM(J39:M39,P39:Q39)</x:f>
        <x:v>7422866667</x:v>
      </x:c>
    </x:row>
    <x:row r="40" ht="34" customHeight="1">
      <x:c r="A40" s="3" t="n">
        <x:v>3</x:v>
      </x:c>
      <x:c r="B40" s="3" t="str">
        <x:v>Kamar Rawat Inap Standar (KRIS) A</x:v>
      </x:c>
      <x:c r="C40" s="3" t="str">
        <x:v>hari_rawat</x:v>
      </x:c>
      <x:c r="D40" s="3" t="n">
        <x:v>30</x:v>
      </x:c>
      <x:c r="E40" s="3" t="n">
        <x:f>'Data Operasional'!G28</x:f>
        <x:v>11680</x:v>
      </x:c>
      <x:c r="F40" s="3" t="n">
        <x:f>'Data Operasional'!F28</x:f>
        <x:v>2920</x:v>
      </x:c>
      <x:c r="G40" s="3" t="n">
        <x:v>0</x:v>
      </x:c>
      <x:c r="H40" s="7" t="n">
        <x:f>'Data Operasional'!I28</x:f>
        <x:v>4</x:v>
      </x:c>
      <x:c r="I40" s="3" t="n">
        <x:v>40</x:v>
      </x:c>
      <x:c r="J40" s="8" t="n">
        <x:f>ROUND('Rumus Perhitungan'!E15*0.55,0)</x:f>
        <x:v>3112120000</x:v>
      </x:c>
      <x:c r="K40" s="8" t="n">
        <x:f>ROUND('Rumus Perhitungan'!E15*0.06,0)</x:f>
        <x:v>339504000</x:v>
      </x:c>
      <x:c r="L40" s="8" t="n">
        <x:f>ROUND('Rumus Perhitungan'!E15*0.04,0)</x:f>
        <x:v>226336000</x:v>
      </x:c>
      <x:c r="M40" s="8" t="n">
        <x:f>'Rumus Perhitungan'!E15-SUM(J40:L40,P40:Q40)</x:f>
        <x:v>1697520000</x:v>
      </x:c>
      <x:c r="N40" s="8" t="n">
        <x:f>P40*5</x:f>
        <x:v>990220000</x:v>
      </x:c>
      <x:c r="O40" s="8" t="n">
        <x:f>Q40*40</x:f>
        <x:v>3395040000</x:v>
      </x:c>
      <x:c r="P40" s="8" t="n">
        <x:f>ROUND('Rumus Perhitungan'!E15*0.035,0)</x:f>
        <x:v>198044000</x:v>
      </x:c>
      <x:c r="Q40" s="8" t="n">
        <x:f>ROUND('Rumus Perhitungan'!E15*0.015,0)</x:f>
        <x:v>84876000</x:v>
      </x:c>
      <x:c r="R40" s="8" t="n">
        <x:v>560</x:v>
      </x:c>
      <x:c r="S40" s="8" t="n">
        <x:f>SUM(J40:M40,P40:Q40)</x:f>
        <x:v>5658400000</x:v>
      </x:c>
    </x:row>
    <x:row r="41" ht="34" customHeight="1">
      <x:c r="A41" s="3" t="n">
        <x:v>4</x:v>
      </x:c>
      <x:c r="B41" s="3" t="str">
        <x:v>Kamar VIP/VVIP/Suite</x:v>
      </x:c>
      <x:c r="C41" s="3" t="str">
        <x:v>hari_rawat</x:v>
      </x:c>
      <x:c r="D41" s="3" t="n">
        <x:v>19</x:v>
      </x:c>
      <x:c r="E41" s="3" t="n">
        <x:f>'Data Operasional'!G29</x:f>
        <x:v>5475</x:v>
      </x:c>
      <x:c r="F41" s="3" t="n">
        <x:f>'Data Operasional'!F29</x:f>
        <x:v>1825</x:v>
      </x:c>
      <x:c r="G41" s="3" t="n">
        <x:v>0</x:v>
      </x:c>
      <x:c r="H41" s="7" t="n">
        <x:f>'Data Operasional'!I29</x:f>
        <x:v>3</x:v>
      </x:c>
      <x:c r="I41" s="3" t="n">
        <x:v>20</x:v>
      </x:c>
      <x:c r="J41" s="8" t="n">
        <x:f>ROUND('Rumus Perhitungan'!E16*0.55,0)</x:f>
        <x:v>2069109167</x:v>
      </x:c>
      <x:c r="K41" s="8" t="n">
        <x:f>ROUND('Rumus Perhitungan'!E16*0.06,0)</x:f>
        <x:v>225721000</x:v>
      </x:c>
      <x:c r="L41" s="8" t="n">
        <x:f>ROUND('Rumus Perhitungan'!E16*0.04,0)</x:f>
        <x:v>150480667</x:v>
      </x:c>
      <x:c r="M41" s="8" t="n">
        <x:f>'Rumus Perhitungan'!E16-SUM(J41:L41,P41:Q41)</x:f>
        <x:v>1128605000</x:v>
      </x:c>
      <x:c r="N41" s="8" t="n">
        <x:f>P41*5</x:f>
        <x:v>658352915</x:v>
      </x:c>
      <x:c r="O41" s="8" t="n">
        <x:f>Q41*40</x:f>
        <x:v>2257210000</x:v>
      </x:c>
      <x:c r="P41" s="8" t="n">
        <x:f>ROUND('Rumus Perhitungan'!E16*0.035,0)</x:f>
        <x:v>131670583</x:v>
      </x:c>
      <x:c r="Q41" s="8" t="n">
        <x:f>ROUND('Rumus Perhitungan'!E16*0.015,0)</x:f>
        <x:v>56430250</x:v>
      </x:c>
      <x:c r="R41" s="8" t="n">
        <x:v>400</x:v>
      </x:c>
      <x:c r="S41" s="8" t="n">
        <x:f>SUM(J41:M41,P41:Q41)</x:f>
        <x:v>3762016667</x:v>
      </x:c>
    </x:row>
    <x:row r="42" ht="34" customHeight="1">
      <x:c r="A42" s="3" t="n">
        <x:v>5</x:v>
      </x:c>
      <x:c r="B42" s="3" t="str">
        <x:v>Kamar ICU/ICCU/NICU/PICU/HCU</x:v>
      </x:c>
      <x:c r="C42" s="3" t="str">
        <x:v>hari_rawat</x:v>
      </x:c>
      <x:c r="D42" s="3" t="n">
        <x:v>56</x:v>
      </x:c>
      <x:c r="E42" s="3" t="n">
        <x:f>'Data Operasional'!G30</x:f>
        <x:v>5110</x:v>
      </x:c>
      <x:c r="F42" s="3" t="n">
        <x:f>'Data Operasional'!F30</x:f>
        <x:v>730</x:v>
      </x:c>
      <x:c r="G42" s="3" t="n">
        <x:v>0</x:v>
      </x:c>
      <x:c r="H42" s="7" t="n">
        <x:f>'Data Operasional'!I30</x:f>
        <x:v>7</x:v>
      </x:c>
      <x:c r="I42" s="3" t="n">
        <x:v>20</x:v>
      </x:c>
      <x:c r="J42" s="8" t="n">
        <x:f>ROUND('Rumus Perhitungan'!E17*0.55,0)</x:f>
        <x:v>2770203333</x:v>
      </x:c>
      <x:c r="K42" s="8" t="n">
        <x:f>ROUND('Rumus Perhitungan'!E17*0.06,0)</x:f>
        <x:v>302204000</x:v>
      </x:c>
      <x:c r="L42" s="8" t="n">
        <x:f>ROUND('Rumus Perhitungan'!E17*0.04,0)</x:f>
        <x:v>201469333</x:v>
      </x:c>
      <x:c r="M42" s="8" t="n">
        <x:f>'Rumus Perhitungan'!E17-SUM(J42:L42,P42:Q42)</x:f>
        <x:v>1511020000</x:v>
      </x:c>
      <x:c r="N42" s="8" t="n">
        <x:f>P42*5</x:f>
        <x:v>881428335</x:v>
      </x:c>
      <x:c r="O42" s="8" t="n">
        <x:f>Q42*40</x:f>
        <x:v>3022040000</x:v>
      </x:c>
      <x:c r="P42" s="8" t="n">
        <x:f>ROUND('Rumus Perhitungan'!E17*0.035,0)</x:f>
        <x:v>176285667</x:v>
      </x:c>
      <x:c r="Q42" s="8" t="n">
        <x:f>ROUND('Rumus Perhitungan'!E17*0.015,0)</x:f>
        <x:v>75551000</x:v>
      </x:c>
      <x:c r="R42" s="8" t="n">
        <x:v>480</x:v>
      </x:c>
      <x:c r="S42" s="8" t="n">
        <x:f>SUM(J42:M42,P42:Q42)</x:f>
        <x:v>5036733333</x:v>
      </x:c>
    </x:row>
    <x:row r="43" ht="34" customHeight="1">
      <x:c r="A43" s="3" t="n">
        <x:v>6</x:v>
      </x:c>
      <x:c r="B43" s="3" t="str">
        <x:v>Instalasi Gawat Darurat (IGD)</x:v>
      </x:c>
      <x:c r="C43" s="3" t="str">
        <x:v>jumlah_kunjungan</x:v>
      </x:c>
      <x:c r="D43" s="3" t="n">
        <x:v>41</x:v>
      </x:c>
      <x:c r="E43" s="3" t="n">
        <x:v>0</x:v>
      </x:c>
      <x:c r="F43" s="3" t="n">
        <x:v>0</x:v>
      </x:c>
      <x:c r="G43" s="3" t="n">
        <x:f>'Data Operasional'!F31</x:f>
        <x:v>42000</x:v>
      </x:c>
      <x:c r="H43" s="7" t="n">
        <x:v>0</x:v>
      </x:c>
      <x:c r="I43" s="3" t="n">
        <x:v>0</x:v>
      </x:c>
      <x:c r="J43" s="8" t="n">
        <x:f>ROUND('Rumus Perhitungan'!E18*0.55,0)</x:f>
        <x:v>4947653333</x:v>
      </x:c>
      <x:c r="K43" s="8" t="n">
        <x:f>ROUND('Rumus Perhitungan'!E18*0.06,0)</x:f>
        <x:v>539744000</x:v>
      </x:c>
      <x:c r="L43" s="8" t="n">
        <x:f>ROUND('Rumus Perhitungan'!E18*0.04,0)</x:f>
        <x:v>359829333</x:v>
      </x:c>
      <x:c r="M43" s="8" t="n">
        <x:f>'Rumus Perhitungan'!E18-SUM(J43:L43,P43:Q43)</x:f>
        <x:v>2698720000</x:v>
      </x:c>
      <x:c r="N43" s="8" t="n">
        <x:f>P43*5</x:f>
        <x:v>1574253335</x:v>
      </x:c>
      <x:c r="O43" s="8" t="n">
        <x:f>Q43*40</x:f>
        <x:v>5397440000</x:v>
      </x:c>
      <x:c r="P43" s="8" t="n">
        <x:f>ROUND('Rumus Perhitungan'!E18*0.035,0)</x:f>
        <x:v>314850667</x:v>
      </x:c>
      <x:c r="Q43" s="8" t="n">
        <x:f>ROUND('Rumus Perhitungan'!E18*0.015,0)</x:f>
        <x:v>134936000</x:v>
      </x:c>
      <x:c r="R43" s="8" t="n">
        <x:v>600</x:v>
      </x:c>
      <x:c r="S43" s="8" t="n">
        <x:f>SUM(J43:M43,P43:Q43)</x:f>
        <x:v>8995733333</x:v>
      </x:c>
    </x:row>
    <x:row r="44" ht="34" customHeight="1">
      <x:c r="A44" s="3" t="n">
        <x:v>7</x:v>
      </x:c>
      <x:c r="B44" s="3" t="str">
        <x:v>Neoplasma dan Myeloproliferative</x:v>
      </x:c>
      <x:c r="C44" s="3" t="str">
        <x:v>jumlah_kunjungan</x:v>
      </x:c>
      <x:c r="D44" s="3" t="n">
        <x:v>25</x:v>
      </x:c>
      <x:c r="E44" s="3" t="n">
        <x:v>0</x:v>
      </x:c>
      <x:c r="F44" s="3" t="n">
        <x:v>0</x:v>
      </x:c>
      <x:c r="G44" s="3" t="n">
        <x:f>'Data Operasional'!F32</x:f>
        <x:v>36000</x:v>
      </x:c>
      <x:c r="H44" s="7" t="n">
        <x:v>0</x:v>
      </x:c>
      <x:c r="I44" s="3" t="n">
        <x:v>0</x:v>
      </x:c>
      <x:c r="J44" s="8" t="n">
        <x:f>ROUND('Rumus Perhitungan'!E19*0.55,0)</x:f>
        <x:v>5888666667</x:v>
      </x:c>
      <x:c r="K44" s="8" t="n">
        <x:f>ROUND('Rumus Perhitungan'!E19*0.06,0)</x:f>
        <x:v>642400000</x:v>
      </x:c>
      <x:c r="L44" s="8" t="n">
        <x:f>ROUND('Rumus Perhitungan'!E19*0.04,0)</x:f>
        <x:v>428266667</x:v>
      </x:c>
      <x:c r="M44" s="8" t="n">
        <x:f>'Rumus Perhitungan'!E19-SUM(J44:L44,P44:Q44)</x:f>
        <x:v>3212000000</x:v>
      </x:c>
      <x:c r="N44" s="8" t="n">
        <x:f>P44*5</x:f>
        <x:v>1873666665</x:v>
      </x:c>
      <x:c r="O44" s="8" t="n">
        <x:f>Q44*40</x:f>
        <x:v>6424000000</x:v>
      </x:c>
      <x:c r="P44" s="8" t="n">
        <x:f>ROUND('Rumus Perhitungan'!E19*0.035,0)</x:f>
        <x:v>374733333</x:v>
      </x:c>
      <x:c r="Q44" s="8" t="n">
        <x:f>ROUND('Rumus Perhitungan'!E19*0.015,0)</x:f>
        <x:v>160600000</x:v>
      </x:c>
      <x:c r="R44" s="8" t="n">
        <x:v>188</x:v>
      </x:c>
      <x:c r="S44" s="8" t="n">
        <x:f>SUM(J44:M44,P44:Q44)</x:f>
        <x:v>10706666667</x:v>
      </x:c>
    </x:row>
    <x:row r="45" ht="34" customHeight="1">
      <x:c r="A45" s="3" t="n">
        <x:v>8</x:v>
      </x:c>
      <x:c r="B45" s="3" t="str">
        <x:v>Jantung dan Pembuluh Darah</x:v>
      </x:c>
      <x:c r="C45" s="3" t="str">
        <x:v>jumlah_kunjungan</x:v>
      </x:c>
      <x:c r="D45" s="3" t="n">
        <x:v>23</x:v>
      </x:c>
      <x:c r="E45" s="3" t="n">
        <x:v>0</x:v>
      </x:c>
      <x:c r="F45" s="3" t="n">
        <x:v>0</x:v>
      </x:c>
      <x:c r="G45" s="3" t="n">
        <x:f>'Data Operasional'!F33</x:f>
        <x:v>32000</x:v>
      </x:c>
      <x:c r="H45" s="7" t="n">
        <x:v>0</x:v>
      </x:c>
      <x:c r="I45" s="3" t="n">
        <x:v>0</x:v>
      </x:c>
      <x:c r="J45" s="8" t="n">
        <x:f>ROUND('Rumus Perhitungan'!E20*0.55,0)</x:f>
        <x:v>4334293333</x:v>
      </x:c>
      <x:c r="K45" s="8" t="n">
        <x:f>ROUND('Rumus Perhitungan'!E20*0.06,0)</x:f>
        <x:v>472832000</x:v>
      </x:c>
      <x:c r="L45" s="8" t="n">
        <x:f>ROUND('Rumus Perhitungan'!E20*0.04,0)</x:f>
        <x:v>315221333</x:v>
      </x:c>
      <x:c r="M45" s="8" t="n">
        <x:f>'Rumus Perhitungan'!E20-SUM(J45:L45,P45:Q45)</x:f>
        <x:v>2364160000</x:v>
      </x:c>
      <x:c r="N45" s="8" t="n">
        <x:f>P45*5</x:f>
        <x:v>1379093335</x:v>
      </x:c>
      <x:c r="O45" s="8" t="n">
        <x:f>Q45*40</x:f>
        <x:v>4728320000</x:v>
      </x:c>
      <x:c r="P45" s="8" t="n">
        <x:f>ROUND('Rumus Perhitungan'!E20*0.035,0)</x:f>
        <x:v>275818667</x:v>
      </x:c>
      <x:c r="Q45" s="8" t="n">
        <x:f>ROUND('Rumus Perhitungan'!E20*0.015,0)</x:f>
        <x:v>118208000</x:v>
      </x:c>
      <x:c r="R45" s="8" t="n">
        <x:v>176</x:v>
      </x:c>
      <x:c r="S45" s="8" t="n">
        <x:f>SUM(J45:M45,P45:Q45)</x:f>
        <x:v>7880533333</x:v>
      </x:c>
    </x:row>
    <x:row r="46" ht="34" customHeight="1">
      <x:c r="A46" s="3" t="n">
        <x:v>9</x:v>
      </x:c>
      <x:c r="B46" s="3" t="str">
        <x:v>Saraf / Neuroscience</x:v>
      </x:c>
      <x:c r="C46" s="3" t="str">
        <x:v>jumlah_kunjungan</x:v>
      </x:c>
      <x:c r="D46" s="3" t="n">
        <x:v>15</x:v>
      </x:c>
      <x:c r="E46" s="3" t="n">
        <x:v>0</x:v>
      </x:c>
      <x:c r="F46" s="3" t="n">
        <x:v>0</x:v>
      </x:c>
      <x:c r="G46" s="3" t="n">
        <x:f>'Data Operasional'!F34</x:f>
        <x:v>18000</x:v>
      </x:c>
      <x:c r="H46" s="7" t="n">
        <x:v>0</x:v>
      </x:c>
      <x:c r="I46" s="3" t="n">
        <x:v>0</x:v>
      </x:c>
      <x:c r="J46" s="8" t="n">
        <x:f>ROUND('Rumus Perhitungan'!E21*0.55,0)</x:f>
        <x:v>1988800000</x:v>
      </x:c>
      <x:c r="K46" s="8" t="n">
        <x:f>ROUND('Rumus Perhitungan'!E21*0.06,0)</x:f>
        <x:v>216960000</x:v>
      </x:c>
      <x:c r="L46" s="8" t="n">
        <x:f>ROUND('Rumus Perhitungan'!E21*0.04,0)</x:f>
        <x:v>144640000</x:v>
      </x:c>
      <x:c r="M46" s="8" t="n">
        <x:f>'Rumus Perhitungan'!E21-SUM(J46:L46,P46:Q46)</x:f>
        <x:v>1084800000</x:v>
      </x:c>
      <x:c r="N46" s="8" t="n">
        <x:f>P46*5</x:f>
        <x:v>632800000</x:v>
      </x:c>
      <x:c r="O46" s="8" t="n">
        <x:f>Q46*40</x:f>
        <x:v>2169600000</x:v>
      </x:c>
      <x:c r="P46" s="8" t="n">
        <x:f>ROUND('Rumus Perhitungan'!E21*0.035,0)</x:f>
        <x:v>126560000</x:v>
      </x:c>
      <x:c r="Q46" s="8" t="n">
        <x:f>ROUND('Rumus Perhitungan'!E21*0.015,0)</x:f>
        <x:v>54240000</x:v>
      </x:c>
      <x:c r="R46" s="8" t="n">
        <x:v>134</x:v>
      </x:c>
      <x:c r="S46" s="8" t="n">
        <x:f>SUM(J46:M46,P46:Q46)</x:f>
        <x:v>3616000000</x:v>
      </x:c>
    </x:row>
    <x:row r="47" ht="34" customHeight="1">
      <x:c r="A47" s="3" t="n">
        <x:v>10</x:v>
      </x:c>
      <x:c r="B47" s="3" t="str">
        <x:v>Kesehatan Ibu dan Ginekologi</x:v>
      </x:c>
      <x:c r="C47" s="3" t="str">
        <x:v>jumlah_kunjungan</x:v>
      </x:c>
      <x:c r="D47" s="3" t="n">
        <x:v>14</x:v>
      </x:c>
      <x:c r="E47" s="3" t="n">
        <x:v>0</x:v>
      </x:c>
      <x:c r="F47" s="3" t="n">
        <x:v>0</x:v>
      </x:c>
      <x:c r="G47" s="3" t="n">
        <x:f>'Data Operasional'!F35</x:f>
        <x:v>16000</x:v>
      </x:c>
      <x:c r="H47" s="7" t="n">
        <x:v>0</x:v>
      </x:c>
      <x:c r="I47" s="3" t="n">
        <x:v>0</x:v>
      </x:c>
      <x:c r="J47" s="8" t="n">
        <x:f>ROUND('Rumus Perhitungan'!E22*0.55,0)</x:f>
        <x:v>1574613333</x:v>
      </x:c>
      <x:c r="K47" s="8" t="n">
        <x:f>ROUND('Rumus Perhitungan'!E22*0.06,0)</x:f>
        <x:v>171776000</x:v>
      </x:c>
      <x:c r="L47" s="8" t="n">
        <x:f>ROUND('Rumus Perhitungan'!E22*0.04,0)</x:f>
        <x:v>114517333</x:v>
      </x:c>
      <x:c r="M47" s="8" t="n">
        <x:f>'Rumus Perhitungan'!E22-SUM(J47:L47,P47:Q47)</x:f>
        <x:v>858880000</x:v>
      </x:c>
      <x:c r="N47" s="8" t="n">
        <x:f>P47*5</x:f>
        <x:v>501013335</x:v>
      </x:c>
      <x:c r="O47" s="8" t="n">
        <x:f>Q47*40</x:f>
        <x:v>1717760000</x:v>
      </x:c>
      <x:c r="P47" s="8" t="n">
        <x:f>ROUND('Rumus Perhitungan'!E22*0.035,0)</x:f>
        <x:v>100202667</x:v>
      </x:c>
      <x:c r="Q47" s="8" t="n">
        <x:f>ROUND('Rumus Perhitungan'!E22*0.015,0)</x:f>
        <x:v>42944000</x:v>
      </x:c>
      <x:c r="R47" s="8" t="n">
        <x:v>128</x:v>
      </x:c>
      <x:c r="S47" s="8" t="n">
        <x:f>SUM(J47:M47,P47:Q47)</x:f>
        <x:v>2862933333</x:v>
      </x:c>
    </x:row>
    <x:row r="48" ht="34" customHeight="1">
      <x:c r="A48" s="3" t="n">
        <x:v>11</x:v>
      </x:c>
      <x:c r="B48" s="3" t="str">
        <x:v>Kesehatan Neonatus</x:v>
      </x:c>
      <x:c r="C48" s="3" t="str">
        <x:v>jumlah_kunjungan</x:v>
      </x:c>
      <x:c r="D48" s="3" t="n">
        <x:v>10</x:v>
      </x:c>
      <x:c r="E48" s="3" t="n">
        <x:v>0</x:v>
      </x:c>
      <x:c r="F48" s="3" t="n">
        <x:v>0</x:v>
      </x:c>
      <x:c r="G48" s="3" t="n">
        <x:f>'Data Operasional'!F36</x:f>
        <x:v>10000</x:v>
      </x:c>
      <x:c r="H48" s="7" t="n">
        <x:v>0</x:v>
      </x:c>
      <x:c r="I48" s="3" t="n">
        <x:v>0</x:v>
      </x:c>
      <x:c r="J48" s="8" t="n">
        <x:f>ROUND('Rumus Perhitungan'!E23*0.55,0)</x:f>
        <x:v>1116866667</x:v>
      </x:c>
      <x:c r="K48" s="8" t="n">
        <x:f>ROUND('Rumus Perhitungan'!E23*0.06,0)</x:f>
        <x:v>121840000</x:v>
      </x:c>
      <x:c r="L48" s="8" t="n">
        <x:f>ROUND('Rumus Perhitungan'!E23*0.04,0)</x:f>
        <x:v>81226667</x:v>
      </x:c>
      <x:c r="M48" s="8" t="n">
        <x:f>'Rumus Perhitungan'!E23-SUM(J48:L48,P48:Q48)</x:f>
        <x:v>609200000</x:v>
      </x:c>
      <x:c r="N48" s="8" t="n">
        <x:f>P48*5</x:f>
        <x:v>355366665</x:v>
      </x:c>
      <x:c r="O48" s="8" t="n">
        <x:f>Q48*40</x:f>
        <x:v>1218400000</x:v>
      </x:c>
      <x:c r="P48" s="8" t="n">
        <x:f>ROUND('Rumus Perhitungan'!E23*0.035,0)</x:f>
        <x:v>71073333</x:v>
      </x:c>
      <x:c r="Q48" s="8" t="n">
        <x:f>ROUND('Rumus Perhitungan'!E23*0.015,0)</x:f>
        <x:v>30460000</x:v>
      </x:c>
      <x:c r="R48" s="8" t="n">
        <x:v>110</x:v>
      </x:c>
      <x:c r="S48" s="8" t="n">
        <x:f>SUM(J48:M48,P48:Q48)</x:f>
        <x:v>2030666667</x:v>
      </x:c>
    </x:row>
    <x:row r="49" ht="34" customHeight="1">
      <x:c r="A49" s="3" t="n">
        <x:v>12</x:v>
      </x:c>
      <x:c r="B49" s="3" t="str">
        <x:v>Sistem Pencernaan dan Hepatobiliar</x:v>
      </x:c>
      <x:c r="C49" s="3" t="str">
        <x:v>jumlah_kunjungan</x:v>
      </x:c>
      <x:c r="D49" s="3" t="n">
        <x:v>19</x:v>
      </x:c>
      <x:c r="E49" s="3" t="n">
        <x:v>0</x:v>
      </x:c>
      <x:c r="F49" s="3" t="n">
        <x:v>0</x:v>
      </x:c>
      <x:c r="G49" s="3" t="n">
        <x:f>'Data Operasional'!F37</x:f>
        <x:v>26000</x:v>
      </x:c>
      <x:c r="H49" s="7" t="n">
        <x:v>0</x:v>
      </x:c>
      <x:c r="I49" s="3" t="n">
        <x:v>0</x:v>
      </x:c>
      <x:c r="J49" s="8" t="n">
        <x:f>ROUND('Rumus Perhitungan'!E24*0.55,0)</x:f>
        <x:v>2655546667</x:v>
      </x:c>
      <x:c r="K49" s="8" t="n">
        <x:f>ROUND('Rumus Perhitungan'!E24*0.06,0)</x:f>
        <x:v>289696000</x:v>
      </x:c>
      <x:c r="L49" s="8" t="n">
        <x:f>ROUND('Rumus Perhitungan'!E24*0.04,0)</x:f>
        <x:v>193130667</x:v>
      </x:c>
      <x:c r="M49" s="8" t="n">
        <x:f>'Rumus Perhitungan'!E24-SUM(J49:L49,P49:Q49)</x:f>
        <x:v>1448480000</x:v>
      </x:c>
      <x:c r="N49" s="8" t="n">
        <x:f>P49*5</x:f>
        <x:v>844946665</x:v>
      </x:c>
      <x:c r="O49" s="8" t="n">
        <x:f>Q49*40</x:f>
        <x:v>2896960000</x:v>
      </x:c>
      <x:c r="P49" s="8" t="n">
        <x:f>ROUND('Rumus Perhitungan'!E24*0.035,0)</x:f>
        <x:v>168989333</x:v>
      </x:c>
      <x:c r="Q49" s="8" t="n">
        <x:f>ROUND('Rumus Perhitungan'!E24*0.015,0)</x:f>
        <x:v>72424000</x:v>
      </x:c>
      <x:c r="R49" s="8" t="n">
        <x:v>158</x:v>
      </x:c>
      <x:c r="S49" s="8" t="n">
        <x:f>SUM(J49:M49,P49:Q49)</x:f>
        <x:v>4828266667</x:v>
      </x:c>
    </x:row>
    <x:row r="50" ht="34" customHeight="1">
      <x:c r="A50" s="3" t="n">
        <x:v>13</x:v>
      </x:c>
      <x:c r="B50" s="3" t="str">
        <x:v>Uronefro (Urologi dan Nefrologi)</x:v>
      </x:c>
      <x:c r="C50" s="3" t="str">
        <x:v>jumlah_kunjungan</x:v>
      </x:c>
      <x:c r="D50" s="3" t="n">
        <x:v>18</x:v>
      </x:c>
      <x:c r="E50" s="3" t="n">
        <x:v>0</x:v>
      </x:c>
      <x:c r="F50" s="3" t="n">
        <x:v>0</x:v>
      </x:c>
      <x:c r="G50" s="3" t="n">
        <x:f>'Data Operasional'!F38</x:f>
        <x:v>24000</x:v>
      </x:c>
      <x:c r="H50" s="7" t="n">
        <x:v>0</x:v>
      </x:c>
      <x:c r="I50" s="3" t="n">
        <x:v>0</x:v>
      </x:c>
      <x:c r="J50" s="8" t="n">
        <x:f>ROUND('Rumus Perhitungan'!E25*0.55,0)</x:f>
        <x:v>4287360000</x:v>
      </x:c>
      <x:c r="K50" s="8" t="n">
        <x:f>ROUND('Rumus Perhitungan'!E25*0.06,0)</x:f>
        <x:v>467712000</x:v>
      </x:c>
      <x:c r="L50" s="8" t="n">
        <x:f>ROUND('Rumus Perhitungan'!E25*0.04,0)</x:f>
        <x:v>311808000</x:v>
      </x:c>
      <x:c r="M50" s="8" t="n">
        <x:f>'Rumus Perhitungan'!E25-SUM(J50:L50,P50:Q50)</x:f>
        <x:v>2338560000</x:v>
      </x:c>
      <x:c r="N50" s="8" t="n">
        <x:f>P50*5</x:f>
        <x:v>1364160000</x:v>
      </x:c>
      <x:c r="O50" s="8" t="n">
        <x:f>Q50*40</x:f>
        <x:v>4677120000</x:v>
      </x:c>
      <x:c r="P50" s="8" t="n">
        <x:f>ROUND('Rumus Perhitungan'!E25*0.035,0)</x:f>
        <x:v>272832000</x:v>
      </x:c>
      <x:c r="Q50" s="8" t="n">
        <x:f>ROUND('Rumus Perhitungan'!E25*0.015,0)</x:f>
        <x:v>116928000</x:v>
      </x:c>
      <x:c r="R50" s="8" t="n">
        <x:v>152</x:v>
      </x:c>
      <x:c r="S50" s="8" t="n">
        <x:f>SUM(J50:M50,P50:Q50)</x:f>
        <x:v>7795200000</x:v>
      </x:c>
    </x:row>
    <x:row r="51" ht="34" customHeight="1">
      <x:c r="A51" s="3" t="n">
        <x:v>14</x:v>
      </x:c>
      <x:c r="B51" s="3" t="str">
        <x:v>Musculoskeletal dan Jaringan Lunak</x:v>
      </x:c>
      <x:c r="C51" s="3" t="str">
        <x:v>jumlah_kunjungan</x:v>
      </x:c>
      <x:c r="D51" s="3" t="n">
        <x:v>15</x:v>
      </x:c>
      <x:c r="E51" s="3" t="n">
        <x:v>0</x:v>
      </x:c>
      <x:c r="F51" s="3" t="n">
        <x:v>0</x:v>
      </x:c>
      <x:c r="G51" s="3" t="n">
        <x:f>'Data Operasional'!F39</x:f>
        <x:v>18000</x:v>
      </x:c>
      <x:c r="H51" s="7" t="n">
        <x:v>0</x:v>
      </x:c>
      <x:c r="I51" s="3" t="n">
        <x:v>0</x:v>
      </x:c>
      <x:c r="J51" s="8" t="n">
        <x:f>ROUND('Rumus Perhitungan'!E26*0.55,0)</x:f>
        <x:v>2087800000</x:v>
      </x:c>
      <x:c r="K51" s="8" t="n">
        <x:f>ROUND('Rumus Perhitungan'!E26*0.06,0)</x:f>
        <x:v>227760000</x:v>
      </x:c>
      <x:c r="L51" s="8" t="n">
        <x:f>ROUND('Rumus Perhitungan'!E26*0.04,0)</x:f>
        <x:v>151840000</x:v>
      </x:c>
      <x:c r="M51" s="8" t="n">
        <x:f>'Rumus Perhitungan'!E26-SUM(J51:L51,P51:Q51)</x:f>
        <x:v>1138800000</x:v>
      </x:c>
      <x:c r="N51" s="8" t="n">
        <x:f>P51*5</x:f>
        <x:v>664300000</x:v>
      </x:c>
      <x:c r="O51" s="8" t="n">
        <x:f>Q51*40</x:f>
        <x:v>2277600000</x:v>
      </x:c>
      <x:c r="P51" s="8" t="n">
        <x:f>ROUND('Rumus Perhitungan'!E26*0.035,0)</x:f>
        <x:v>132860000</x:v>
      </x:c>
      <x:c r="Q51" s="8" t="n">
        <x:f>ROUND('Rumus Perhitungan'!E26*0.015,0)</x:f>
        <x:v>56940000</x:v>
      </x:c>
      <x:c r="R51" s="8" t="n">
        <x:v>134</x:v>
      </x:c>
      <x:c r="S51" s="8" t="n">
        <x:f>SUM(J51:M51,P51:Q51)</x:f>
        <x:v>3796000000</x:v>
      </x:c>
    </x:row>
    <x:row r="52" ht="34" customHeight="1">
      <x:c r="A52" s="3" t="n">
        <x:v>15</x:v>
      </x:c>
      <x:c r="B52" s="3" t="str">
        <x:v>Rekonstruksi dan Estetika</x:v>
      </x:c>
      <x:c r="C52" s="3" t="str">
        <x:v>jumlah_kunjungan</x:v>
      </x:c>
      <x:c r="D52" s="3" t="n">
        <x:v>9</x:v>
      </x:c>
      <x:c r="E52" s="3" t="n">
        <x:v>0</x:v>
      </x:c>
      <x:c r="F52" s="3" t="n">
        <x:v>0</x:v>
      </x:c>
      <x:c r="G52" s="3" t="n">
        <x:f>'Data Operasional'!F40</x:f>
        <x:v>9000</x:v>
      </x:c>
      <x:c r="H52" s="7" t="n">
        <x:v>0</x:v>
      </x:c>
      <x:c r="I52" s="3" t="n">
        <x:v>0</x:v>
      </x:c>
      <x:c r="J52" s="8" t="n">
        <x:f>ROUND('Rumus Perhitungan'!E27*0.55,0)</x:f>
        <x:v>1252680000</x:v>
      </x:c>
      <x:c r="K52" s="8" t="n">
        <x:f>ROUND('Rumus Perhitungan'!E27*0.06,0)</x:f>
        <x:v>136656000</x:v>
      </x:c>
      <x:c r="L52" s="8" t="n">
        <x:f>ROUND('Rumus Perhitungan'!E27*0.04,0)</x:f>
        <x:v>91104000</x:v>
      </x:c>
      <x:c r="M52" s="8" t="n">
        <x:f>'Rumus Perhitungan'!E27-SUM(J52:L52,P52:Q52)</x:f>
        <x:v>683280000</x:v>
      </x:c>
      <x:c r="N52" s="8" t="n">
        <x:f>P52*5</x:f>
        <x:v>398580000</x:v>
      </x:c>
      <x:c r="O52" s="8" t="n">
        <x:f>Q52*40</x:f>
        <x:v>1366560000</x:v>
      </x:c>
      <x:c r="P52" s="8" t="n">
        <x:f>ROUND('Rumus Perhitungan'!E27*0.035,0)</x:f>
        <x:v>79716000</x:v>
      </x:c>
      <x:c r="Q52" s="8" t="n">
        <x:f>ROUND('Rumus Perhitungan'!E27*0.015,0)</x:f>
        <x:v>34164000</x:v>
      </x:c>
      <x:c r="R52" s="8" t="n">
        <x:v>107</x:v>
      </x:c>
      <x:c r="S52" s="8" t="n">
        <x:f>SUM(J52:M52,P52:Q52)</x:f>
        <x:v>2277600000</x:v>
      </x:c>
    </x:row>
    <x:row r="53" ht="34" customHeight="1">
      <x:c r="A53" s="3" t="n">
        <x:v>16</x:v>
      </x:c>
      <x:c r="B53" s="3" t="str">
        <x:v>Trauma</x:v>
      </x:c>
      <x:c r="C53" s="3" t="str">
        <x:v>jumlah_kunjungan</x:v>
      </x:c>
      <x:c r="D53" s="3" t="n">
        <x:v>11</x:v>
      </x:c>
      <x:c r="E53" s="3" t="n">
        <x:v>0</x:v>
      </x:c>
      <x:c r="F53" s="3" t="n">
        <x:v>0</x:v>
      </x:c>
      <x:c r="G53" s="3" t="n">
        <x:f>'Data Operasional'!F41</x:f>
        <x:v>12000</x:v>
      </x:c>
      <x:c r="H53" s="7" t="n">
        <x:v>0</x:v>
      </x:c>
      <x:c r="I53" s="3" t="n">
        <x:v>0</x:v>
      </x:c>
      <x:c r="J53" s="8" t="n">
        <x:f>ROUND('Rumus Perhitungan'!E28*0.55,0)</x:f>
        <x:v>1564053333</x:v>
      </x:c>
      <x:c r="K53" s="8" t="n">
        <x:f>ROUND('Rumus Perhitungan'!E28*0.06,0)</x:f>
        <x:v>170624000</x:v>
      </x:c>
      <x:c r="L53" s="8" t="n">
        <x:f>ROUND('Rumus Perhitungan'!E28*0.04,0)</x:f>
        <x:v>113749333</x:v>
      </x:c>
      <x:c r="M53" s="8" t="n">
        <x:f>'Rumus Perhitungan'!E28-SUM(J53:L53,P53:Q53)</x:f>
        <x:v>853120000</x:v>
      </x:c>
      <x:c r="N53" s="8" t="n">
        <x:f>P53*5</x:f>
        <x:v>497653335</x:v>
      </x:c>
      <x:c r="O53" s="8" t="n">
        <x:f>Q53*40</x:f>
        <x:v>1706240000</x:v>
      </x:c>
      <x:c r="P53" s="8" t="n">
        <x:f>ROUND('Rumus Perhitungan'!E28*0.035,0)</x:f>
        <x:v>99530667</x:v>
      </x:c>
      <x:c r="Q53" s="8" t="n">
        <x:f>ROUND('Rumus Perhitungan'!E28*0.015,0)</x:f>
        <x:v>42656000</x:v>
      </x:c>
      <x:c r="R53" s="8" t="n">
        <x:v>116</x:v>
      </x:c>
      <x:c r="S53" s="8" t="n">
        <x:f>SUM(J53:M53,P53:Q53)</x:f>
        <x:v>2843733333</x:v>
      </x:c>
    </x:row>
    <x:row r="54" ht="34" customHeight="1">
      <x:c r="A54" s="3" t="n">
        <x:v>17</x:v>
      </x:c>
      <x:c r="B54" s="3" t="str">
        <x:v>Paru</x:v>
      </x:c>
      <x:c r="C54" s="3" t="str">
        <x:v>jumlah_kunjungan</x:v>
      </x:c>
      <x:c r="D54" s="3" t="n">
        <x:v>13</x:v>
      </x:c>
      <x:c r="E54" s="3" t="n">
        <x:v>0</x:v>
      </x:c>
      <x:c r="F54" s="3" t="n">
        <x:v>0</x:v>
      </x:c>
      <x:c r="G54" s="3" t="n">
        <x:f>'Data Operasional'!F42</x:f>
        <x:v>15000</x:v>
      </x:c>
      <x:c r="H54" s="7" t="n">
        <x:v>0</x:v>
      </x:c>
      <x:c r="I54" s="3" t="n">
        <x:v>0</x:v>
      </x:c>
      <x:c r="J54" s="8" t="n">
        <x:f>ROUND('Rumus Perhitungan'!E29*0.55,0)</x:f>
        <x:v>1644426667</x:v>
      </x:c>
      <x:c r="K54" s="8" t="n">
        <x:f>ROUND('Rumus Perhitungan'!E29*0.06,0)</x:f>
        <x:v>179392000</x:v>
      </x:c>
      <x:c r="L54" s="8" t="n">
        <x:f>ROUND('Rumus Perhitungan'!E29*0.04,0)</x:f>
        <x:v>119594667</x:v>
      </x:c>
      <x:c r="M54" s="8" t="n">
        <x:f>'Rumus Perhitungan'!E29-SUM(J54:L54,P54:Q54)</x:f>
        <x:v>896960000</x:v>
      </x:c>
      <x:c r="N54" s="8" t="n">
        <x:f>P54*5</x:f>
        <x:v>523226665</x:v>
      </x:c>
      <x:c r="O54" s="8" t="n">
        <x:f>Q54*40</x:f>
        <x:v>1793920000</x:v>
      </x:c>
      <x:c r="P54" s="8" t="n">
        <x:f>ROUND('Rumus Perhitungan'!E29*0.035,0)</x:f>
        <x:v>104645333</x:v>
      </x:c>
      <x:c r="Q54" s="8" t="n">
        <x:f>ROUND('Rumus Perhitungan'!E29*0.015,0)</x:f>
        <x:v>44848000</x:v>
      </x:c>
      <x:c r="R54" s="8" t="n">
        <x:v>125</x:v>
      </x:c>
      <x:c r="S54" s="8" t="n">
        <x:f>SUM(J54:M54,P54:Q54)</x:f>
        <x:v>2989866667</x:v>
      </x:c>
    </x:row>
    <x:row r="55" ht="34" customHeight="1">
      <x:c r="A55" s="3" t="n">
        <x:v>18</x:v>
      </x:c>
      <x:c r="B55" s="3" t="str">
        <x:v>THT (Telinga, Hidung, Tenggorokan)</x:v>
      </x:c>
      <x:c r="C55" s="3" t="str">
        <x:v>jumlah_kunjungan</x:v>
      </x:c>
      <x:c r="D55" s="3" t="n">
        <x:v>13</x:v>
      </x:c>
      <x:c r="E55" s="3" t="n">
        <x:v>0</x:v>
      </x:c>
      <x:c r="F55" s="3" t="n">
        <x:v>0</x:v>
      </x:c>
      <x:c r="G55" s="3" t="n">
        <x:f>'Data Operasional'!F43</x:f>
        <x:v>14000</x:v>
      </x:c>
      <x:c r="H55" s="7" t="n">
        <x:v>0</x:v>
      </x:c>
      <x:c r="I55" s="3" t="n">
        <x:v>0</x:v>
      </x:c>
      <x:c r="J55" s="8" t="n">
        <x:f>ROUND('Rumus Perhitungan'!E30*0.55,0)</x:f>
        <x:v>1204426667</x:v>
      </x:c>
      <x:c r="K55" s="8" t="n">
        <x:f>ROUND('Rumus Perhitungan'!E30*0.06,0)</x:f>
        <x:v>131392000</x:v>
      </x:c>
      <x:c r="L55" s="8" t="n">
        <x:f>ROUND('Rumus Perhitungan'!E30*0.04,0)</x:f>
        <x:v>87594667</x:v>
      </x:c>
      <x:c r="M55" s="8" t="n">
        <x:f>'Rumus Perhitungan'!E30-SUM(J55:L55,P55:Q55)</x:f>
        <x:v>656960000</x:v>
      </x:c>
      <x:c r="N55" s="8" t="n">
        <x:f>P55*5</x:f>
        <x:v>383226665</x:v>
      </x:c>
      <x:c r="O55" s="8" t="n">
        <x:f>Q55*40</x:f>
        <x:v>1313920000</x:v>
      </x:c>
      <x:c r="P55" s="8" t="n">
        <x:f>ROUND('Rumus Perhitungan'!E30*0.035,0)</x:f>
        <x:v>76645333</x:v>
      </x:c>
      <x:c r="Q55" s="8" t="n">
        <x:f>ROUND('Rumus Perhitungan'!E30*0.015,0)</x:f>
        <x:v>32848000</x:v>
      </x:c>
      <x:c r="R55" s="8" t="n">
        <x:v>122</x:v>
      </x:c>
      <x:c r="S55" s="8" t="n">
        <x:f>SUM(J55:M55,P55:Q55)</x:f>
        <x:v>2189866667</x:v>
      </x:c>
    </x:row>
    <x:row r="56" ht="34" customHeight="1">
      <x:c r="A56" s="3" t="n">
        <x:v>19</x:v>
      </x:c>
      <x:c r="B56" s="3" t="str">
        <x:v>Mata</x:v>
      </x:c>
      <x:c r="C56" s="3" t="str">
        <x:v>jumlah_kunjungan</x:v>
      </x:c>
      <x:c r="D56" s="3" t="n">
        <x:v>14</x:v>
      </x:c>
      <x:c r="E56" s="3" t="n">
        <x:v>0</x:v>
      </x:c>
      <x:c r="F56" s="3" t="n">
        <x:v>0</x:v>
      </x:c>
      <x:c r="G56" s="3" t="n">
        <x:f>'Data Operasional'!F44</x:f>
        <x:v>16000</x:v>
      </x:c>
      <x:c r="H56" s="7" t="n">
        <x:v>0</x:v>
      </x:c>
      <x:c r="I56" s="3" t="n">
        <x:v>0</x:v>
      </x:c>
      <x:c r="J56" s="8" t="n">
        <x:f>ROUND('Rumus Perhitungan'!E31*0.55,0)</x:f>
        <x:v>1222613333</x:v>
      </x:c>
      <x:c r="K56" s="8" t="n">
        <x:f>ROUND('Rumus Perhitungan'!E31*0.06,0)</x:f>
        <x:v>133376000</x:v>
      </x:c>
      <x:c r="L56" s="8" t="n">
        <x:f>ROUND('Rumus Perhitungan'!E31*0.04,0)</x:f>
        <x:v>88917333</x:v>
      </x:c>
      <x:c r="M56" s="8" t="n">
        <x:f>'Rumus Perhitungan'!E31-SUM(J56:L56,P56:Q56)</x:f>
        <x:v>666880000</x:v>
      </x:c>
      <x:c r="N56" s="8" t="n">
        <x:f>P56*5</x:f>
        <x:v>389013335</x:v>
      </x:c>
      <x:c r="O56" s="8" t="n">
        <x:f>Q56*40</x:f>
        <x:v>1333760000</x:v>
      </x:c>
      <x:c r="P56" s="8" t="n">
        <x:f>ROUND('Rumus Perhitungan'!E31*0.035,0)</x:f>
        <x:v>77802667</x:v>
      </x:c>
      <x:c r="Q56" s="8" t="n">
        <x:f>ROUND('Rumus Perhitungan'!E31*0.015,0)</x:f>
        <x:v>33344000</x:v>
      </x:c>
      <x:c r="R56" s="8" t="n">
        <x:v>128</x:v>
      </x:c>
      <x:c r="S56" s="8" t="n">
        <x:f>SUM(J56:M56,P56:Q56)</x:f>
        <x:v>2222933333</x:v>
      </x:c>
    </x:row>
    <x:row r="57" ht="34" customHeight="1">
      <x:c r="A57" s="3" t="n">
        <x:v>20</x:v>
      </x:c>
      <x:c r="B57" s="3" t="str">
        <x:v>Kulit dan Kelamin</x:v>
      </x:c>
      <x:c r="C57" s="3" t="str">
        <x:v>jumlah_kunjungan</x:v>
      </x:c>
      <x:c r="D57" s="3" t="n">
        <x:v>13</x:v>
      </x:c>
      <x:c r="E57" s="3" t="n">
        <x:v>0</x:v>
      </x:c>
      <x:c r="F57" s="3" t="n">
        <x:v>0</x:v>
      </x:c>
      <x:c r="G57" s="3" t="n">
        <x:f>'Data Operasional'!F45</x:f>
        <x:v>15000</x:v>
      </x:c>
      <x:c r="H57" s="7" t="n">
        <x:v>0</x:v>
      </x:c>
      <x:c r="I57" s="3" t="n">
        <x:v>0</x:v>
      </x:c>
      <x:c r="J57" s="8" t="n">
        <x:f>ROUND('Rumus Perhitungan'!E32*0.55,0)</x:f>
        <x:v>1314426667</x:v>
      </x:c>
      <x:c r="K57" s="8" t="n">
        <x:f>ROUND('Rumus Perhitungan'!E32*0.06,0)</x:f>
        <x:v>143392000</x:v>
      </x:c>
      <x:c r="L57" s="8" t="n">
        <x:f>ROUND('Rumus Perhitungan'!E32*0.04,0)</x:f>
        <x:v>95594667</x:v>
      </x:c>
      <x:c r="M57" s="8" t="n">
        <x:f>'Rumus Perhitungan'!E32-SUM(J57:L57,P57:Q57)</x:f>
        <x:v>716960000</x:v>
      </x:c>
      <x:c r="N57" s="8" t="n">
        <x:f>P57*5</x:f>
        <x:v>418226665</x:v>
      </x:c>
      <x:c r="O57" s="8" t="n">
        <x:f>Q57*40</x:f>
        <x:v>1433920000</x:v>
      </x:c>
      <x:c r="P57" s="8" t="n">
        <x:f>ROUND('Rumus Perhitungan'!E32*0.035,0)</x:f>
        <x:v>83645333</x:v>
      </x:c>
      <x:c r="Q57" s="8" t="n">
        <x:f>ROUND('Rumus Perhitungan'!E32*0.015,0)</x:f>
        <x:v>35848000</x:v>
      </x:c>
      <x:c r="R57" s="8" t="n">
        <x:v>125</x:v>
      </x:c>
      <x:c r="S57" s="8" t="n">
        <x:f>SUM(J57:M57,P57:Q57)</x:f>
        <x:v>2389866667</x:v>
      </x:c>
    </x:row>
    <x:row r="58" ht="34" customHeight="1">
      <x:c r="A58" s="3" t="n">
        <x:v>21</x:v>
      </x:c>
      <x:c r="B58" s="3" t="str">
        <x:v>Infeksi / Penyakit Tropis</x:v>
      </x:c>
      <x:c r="C58" s="3" t="str">
        <x:v>jumlah_kunjungan</x:v>
      </x:c>
      <x:c r="D58" s="3" t="n">
        <x:v>14</x:v>
      </x:c>
      <x:c r="E58" s="3" t="n">
        <x:v>0</x:v>
      </x:c>
      <x:c r="F58" s="3" t="n">
        <x:v>0</x:v>
      </x:c>
      <x:c r="G58" s="3" t="n">
        <x:f>'Data Operasional'!F46</x:f>
        <x:v>16000</x:v>
      </x:c>
      <x:c r="H58" s="7" t="n">
        <x:v>0</x:v>
      </x:c>
      <x:c r="I58" s="3" t="n">
        <x:v>0</x:v>
      </x:c>
      <x:c r="J58" s="8" t="n">
        <x:f>ROUND('Rumus Perhitungan'!E33*0.55,0)</x:f>
        <x:v>1574613333</x:v>
      </x:c>
      <x:c r="K58" s="8" t="n">
        <x:f>ROUND('Rumus Perhitungan'!E33*0.06,0)</x:f>
        <x:v>171776000</x:v>
      </x:c>
      <x:c r="L58" s="8" t="n">
        <x:f>ROUND('Rumus Perhitungan'!E33*0.04,0)</x:f>
        <x:v>114517333</x:v>
      </x:c>
      <x:c r="M58" s="8" t="n">
        <x:f>'Rumus Perhitungan'!E33-SUM(J58:L58,P58:Q58)</x:f>
        <x:v>858880000</x:v>
      </x:c>
      <x:c r="N58" s="8" t="n">
        <x:f>P58*5</x:f>
        <x:v>501013335</x:v>
      </x:c>
      <x:c r="O58" s="8" t="n">
        <x:f>Q58*40</x:f>
        <x:v>1717760000</x:v>
      </x:c>
      <x:c r="P58" s="8" t="n">
        <x:f>ROUND('Rumus Perhitungan'!E33*0.035,0)</x:f>
        <x:v>100202667</x:v>
      </x:c>
      <x:c r="Q58" s="8" t="n">
        <x:f>ROUND('Rumus Perhitungan'!E33*0.015,0)</x:f>
        <x:v>42944000</x:v>
      </x:c>
      <x:c r="R58" s="8" t="n">
        <x:v>128</x:v>
      </x:c>
      <x:c r="S58" s="8" t="n">
        <x:f>SUM(J58:M58,P58:Q58)</x:f>
        <x:v>2862933333</x:v>
      </x:c>
    </x:row>
    <x:row r="59" ht="34" customHeight="1">
      <x:c r="A59" s="3" t="n">
        <x:v>22</x:v>
      </x:c>
      <x:c r="B59" s="3" t="str">
        <x:v>Hematologi dan Onkologi Medik</x:v>
      </x:c>
      <x:c r="C59" s="3" t="str">
        <x:v>jumlah_kunjungan</x:v>
      </x:c>
      <x:c r="D59" s="3" t="n">
        <x:v>11</x:v>
      </x:c>
      <x:c r="E59" s="3" t="n">
        <x:v>0</x:v>
      </x:c>
      <x:c r="F59" s="3" t="n">
        <x:v>0</x:v>
      </x:c>
      <x:c r="G59" s="3" t="n">
        <x:f>'Data Operasional'!F47</x:f>
        <x:v>12000</x:v>
      </x:c>
      <x:c r="H59" s="7" t="n">
        <x:v>0</x:v>
      </x:c>
      <x:c r="I59" s="3" t="n">
        <x:v>0</x:v>
      </x:c>
      <x:c r="J59" s="8" t="n">
        <x:f>ROUND('Rumus Perhitungan'!E34*0.55,0)</x:f>
        <x:v>1828053333</x:v>
      </x:c>
      <x:c r="K59" s="8" t="n">
        <x:f>ROUND('Rumus Perhitungan'!E34*0.06,0)</x:f>
        <x:v>199424000</x:v>
      </x:c>
      <x:c r="L59" s="8" t="n">
        <x:f>ROUND('Rumus Perhitungan'!E34*0.04,0)</x:f>
        <x:v>132949333</x:v>
      </x:c>
      <x:c r="M59" s="8" t="n">
        <x:f>'Rumus Perhitungan'!E34-SUM(J59:L59,P59:Q59)</x:f>
        <x:v>997120000</x:v>
      </x:c>
      <x:c r="N59" s="8" t="n">
        <x:f>P59*5</x:f>
        <x:v>581653335</x:v>
      </x:c>
      <x:c r="O59" s="8" t="n">
        <x:f>Q59*40</x:f>
        <x:v>1994240000</x:v>
      </x:c>
      <x:c r="P59" s="8" t="n">
        <x:f>ROUND('Rumus Perhitungan'!E34*0.035,0)</x:f>
        <x:v>116330667</x:v>
      </x:c>
      <x:c r="Q59" s="8" t="n">
        <x:f>ROUND('Rumus Perhitungan'!E34*0.015,0)</x:f>
        <x:v>49856000</x:v>
      </x:c>
      <x:c r="R59" s="8" t="n">
        <x:v>116</x:v>
      </x:c>
      <x:c r="S59" s="8" t="n">
        <x:f>SUM(J59:M59,P59:Q59)</x:f>
        <x:v>3323733333</x:v>
      </x:c>
    </x:row>
    <x:row r="60" ht="34" customHeight="1">
      <x:c r="A60" s="3" t="n">
        <x:v>23</x:v>
      </x:c>
      <x:c r="B60" s="3" t="str">
        <x:v>Imunologi dan Reumatologi</x:v>
      </x:c>
      <x:c r="C60" s="3" t="str">
        <x:v>jumlah_kunjungan</x:v>
      </x:c>
      <x:c r="D60" s="3" t="n">
        <x:v>10</x:v>
      </x:c>
      <x:c r="E60" s="3" t="n">
        <x:v>0</x:v>
      </x:c>
      <x:c r="F60" s="3" t="n">
        <x:v>0</x:v>
      </x:c>
      <x:c r="G60" s="3" t="n">
        <x:f>'Data Operasional'!F48</x:f>
        <x:v>10000</x:v>
      </x:c>
      <x:c r="H60" s="7" t="n">
        <x:v>0</x:v>
      </x:c>
      <x:c r="I60" s="3" t="n">
        <x:v>0</x:v>
      </x:c>
      <x:c r="J60" s="8" t="n">
        <x:f>ROUND('Rumus Perhitungan'!E35*0.55,0)</x:f>
        <x:v>951866667</x:v>
      </x:c>
      <x:c r="K60" s="8" t="n">
        <x:f>ROUND('Rumus Perhitungan'!E35*0.06,0)</x:f>
        <x:v>103840000</x:v>
      </x:c>
      <x:c r="L60" s="8" t="n">
        <x:f>ROUND('Rumus Perhitungan'!E35*0.04,0)</x:f>
        <x:v>69226667</x:v>
      </x:c>
      <x:c r="M60" s="8" t="n">
        <x:f>'Rumus Perhitungan'!E35-SUM(J60:L60,P60:Q60)</x:f>
        <x:v>519200000</x:v>
      </x:c>
      <x:c r="N60" s="8" t="n">
        <x:f>P60*5</x:f>
        <x:v>302866665</x:v>
      </x:c>
      <x:c r="O60" s="8" t="n">
        <x:f>Q60*40</x:f>
        <x:v>1038400000</x:v>
      </x:c>
      <x:c r="P60" s="8" t="n">
        <x:f>ROUND('Rumus Perhitungan'!E35*0.035,0)</x:f>
        <x:v>60573333</x:v>
      </x:c>
      <x:c r="Q60" s="8" t="n">
        <x:f>ROUND('Rumus Perhitungan'!E35*0.015,0)</x:f>
        <x:v>25960000</x:v>
      </x:c>
      <x:c r="R60" s="8" t="n">
        <x:v>110</x:v>
      </x:c>
      <x:c r="S60" s="8" t="n">
        <x:f>SUM(J60:M60,P60:Q60)</x:f>
        <x:v>1730666667</x:v>
      </x:c>
    </x:row>
    <x:row r="61" ht="34" customHeight="1">
      <x:c r="A61" s="3" t="n">
        <x:v>24</x:v>
      </x:c>
      <x:c r="B61" s="3" t="str">
        <x:v>Keracunan (Toksikologi)</x:v>
      </x:c>
      <x:c r="C61" s="3" t="str">
        <x:v>jumlah_kunjungan</x:v>
      </x:c>
      <x:c r="D61" s="3" t="n">
        <x:v>9</x:v>
      </x:c>
      <x:c r="E61" s="3" t="n">
        <x:v>0</x:v>
      </x:c>
      <x:c r="F61" s="3" t="n">
        <x:v>0</x:v>
      </x:c>
      <x:c r="G61" s="3" t="n">
        <x:f>'Data Operasional'!F49</x:f>
        <x:v>8000</x:v>
      </x:c>
      <x:c r="H61" s="7" t="n">
        <x:v>0</x:v>
      </x:c>
      <x:c r="I61" s="3" t="n">
        <x:v>0</x:v>
      </x:c>
      <x:c r="J61" s="8" t="n">
        <x:f>ROUND('Rumus Perhitungan'!E36*0.55,0)</x:f>
        <x:v>911680000</x:v>
      </x:c>
      <x:c r="K61" s="8" t="n">
        <x:f>ROUND('Rumus Perhitungan'!E36*0.06,0)</x:f>
        <x:v>99456000</x:v>
      </x:c>
      <x:c r="L61" s="8" t="n">
        <x:f>ROUND('Rumus Perhitungan'!E36*0.04,0)</x:f>
        <x:v>66304000</x:v>
      </x:c>
      <x:c r="M61" s="8" t="n">
        <x:f>'Rumus Perhitungan'!E36-SUM(J61:L61,P61:Q61)</x:f>
        <x:v>497280000</x:v>
      </x:c>
      <x:c r="N61" s="8" t="n">
        <x:f>P61*5</x:f>
        <x:v>290080000</x:v>
      </x:c>
      <x:c r="O61" s="8" t="n">
        <x:f>Q61*40</x:f>
        <x:v>994560000</x:v>
      </x:c>
      <x:c r="P61" s="8" t="n">
        <x:f>ROUND('Rumus Perhitungan'!E36*0.035,0)</x:f>
        <x:v>58016000</x:v>
      </x:c>
      <x:c r="Q61" s="8" t="n">
        <x:f>ROUND('Rumus Perhitungan'!E36*0.015,0)</x:f>
        <x:v>24864000</x:v>
      </x:c>
      <x:c r="R61" s="8" t="n">
        <x:v>104</x:v>
      </x:c>
      <x:c r="S61" s="8" t="n">
        <x:f>SUM(J61:M61,P61:Q61)</x:f>
        <x:v>1657600000</x:v>
      </x:c>
    </x:row>
    <x:row r="62" ht="34" customHeight="1">
      <x:c r="A62" s="3" t="n">
        <x:v>25</x:v>
      </x:c>
      <x:c r="B62" s="3" t="str">
        <x:v>Endokrin, Metabolik, dan Diabetes</x:v>
      </x:c>
      <x:c r="C62" s="3" t="str">
        <x:v>jumlah_kunjungan</x:v>
      </x:c>
      <x:c r="D62" s="3" t="n">
        <x:v>18</x:v>
      </x:c>
      <x:c r="E62" s="3" t="n">
        <x:v>0</x:v>
      </x:c>
      <x:c r="F62" s="3" t="n">
        <x:v>0</x:v>
      </x:c>
      <x:c r="G62" s="3" t="n">
        <x:f>'Data Operasional'!F50</x:f>
        <x:v>24000</x:v>
      </x:c>
      <x:c r="H62" s="7" t="n">
        <x:v>0</x:v>
      </x:c>
      <x:c r="I62" s="3" t="n">
        <x:v>0</x:v>
      </x:c>
      <x:c r="J62" s="8" t="n">
        <x:f>ROUND('Rumus Perhitungan'!E37*0.55,0)</x:f>
        <x:v>2439360000</x:v>
      </x:c>
      <x:c r="K62" s="8" t="n">
        <x:f>ROUND('Rumus Perhitungan'!E37*0.06,0)</x:f>
        <x:v>266112000</x:v>
      </x:c>
      <x:c r="L62" s="8" t="n">
        <x:f>ROUND('Rumus Perhitungan'!E37*0.04,0)</x:f>
        <x:v>177408000</x:v>
      </x:c>
      <x:c r="M62" s="8" t="n">
        <x:f>'Rumus Perhitungan'!E37-SUM(J62:L62,P62:Q62)</x:f>
        <x:v>1330560000</x:v>
      </x:c>
      <x:c r="N62" s="8" t="n">
        <x:f>P62*5</x:f>
        <x:v>776160000</x:v>
      </x:c>
      <x:c r="O62" s="8" t="n">
        <x:f>Q62*40</x:f>
        <x:v>2661120000</x:v>
      </x:c>
      <x:c r="P62" s="8" t="n">
        <x:f>ROUND('Rumus Perhitungan'!E37*0.035,0)</x:f>
        <x:v>155232000</x:v>
      </x:c>
      <x:c r="Q62" s="8" t="n">
        <x:f>ROUND('Rumus Perhitungan'!E37*0.015,0)</x:f>
        <x:v>66528000</x:v>
      </x:c>
      <x:c r="R62" s="8" t="n">
        <x:v>152</x:v>
      </x:c>
      <x:c r="S62" s="8" t="n">
        <x:f>SUM(J62:M62,P62:Q62)</x:f>
        <x:v>4435200000</x:v>
      </x:c>
    </x:row>
    <x:row r="63" ht="34" customHeight="1">
      <x:c r="A63" s="3" t="n">
        <x:v>26</x:v>
      </x:c>
      <x:c r="B63" s="3" t="str">
        <x:v>Luka Bakar (Burn Unit)</x:v>
      </x:c>
      <x:c r="C63" s="3" t="str">
        <x:v>jumlah_kunjungan</x:v>
      </x:c>
      <x:c r="D63" s="3" t="n">
        <x:v>9</x:v>
      </x:c>
      <x:c r="E63" s="3" t="n">
        <x:v>0</x:v>
      </x:c>
      <x:c r="F63" s="3" t="n">
        <x:v>0</x:v>
      </x:c>
      <x:c r="G63" s="3" t="n">
        <x:f>'Data Operasional'!F51</x:f>
        <x:v>8000</x:v>
      </x:c>
      <x:c r="H63" s="7" t="n">
        <x:v>0</x:v>
      </x:c>
      <x:c r="I63" s="3" t="n">
        <x:v>0</x:v>
      </x:c>
      <x:c r="J63" s="8" t="n">
        <x:f>ROUND('Rumus Perhitungan'!E38*0.55,0)</x:f>
        <x:v>1967680000</x:v>
      </x:c>
      <x:c r="K63" s="8" t="n">
        <x:f>ROUND('Rumus Perhitungan'!E38*0.06,0)</x:f>
        <x:v>214656000</x:v>
      </x:c>
      <x:c r="L63" s="8" t="n">
        <x:f>ROUND('Rumus Perhitungan'!E38*0.04,0)</x:f>
        <x:v>143104000</x:v>
      </x:c>
      <x:c r="M63" s="8" t="n">
        <x:f>'Rumus Perhitungan'!E38-SUM(J63:L63,P63:Q63)</x:f>
        <x:v>1073280000</x:v>
      </x:c>
      <x:c r="N63" s="8" t="n">
        <x:f>P63*5</x:f>
        <x:v>626080000</x:v>
      </x:c>
      <x:c r="O63" s="8" t="n">
        <x:f>Q63*40</x:f>
        <x:v>2146560000</x:v>
      </x:c>
      <x:c r="P63" s="8" t="n">
        <x:f>ROUND('Rumus Perhitungan'!E38*0.035,0)</x:f>
        <x:v>125216000</x:v>
      </x:c>
      <x:c r="Q63" s="8" t="n">
        <x:f>ROUND('Rumus Perhitungan'!E38*0.015,0)</x:f>
        <x:v>53664000</x:v>
      </x:c>
      <x:c r="R63" s="8" t="n">
        <x:v>104</x:v>
      </x:c>
      <x:c r="S63" s="8" t="n">
        <x:f>SUM(J63:M63,P63:Q63)</x:f>
        <x:v>3577600000</x:v>
      </x:c>
    </x:row>
    <x:row r="64" ht="34" customHeight="1">
      <x:c r="A64" s="3" t="n">
        <x:v>27</x:v>
      </x:c>
      <x:c r="B64" s="3" t="str">
        <x:v>Jiwa / Psikiatri</x:v>
      </x:c>
      <x:c r="C64" s="3" t="str">
        <x:v>jumlah_kunjungan</x:v>
      </x:c>
      <x:c r="D64" s="3" t="n">
        <x:v>14</x:v>
      </x:c>
      <x:c r="E64" s="3" t="n">
        <x:v>0</x:v>
      </x:c>
      <x:c r="F64" s="3" t="n">
        <x:v>0</x:v>
      </x:c>
      <x:c r="G64" s="3" t="n">
        <x:f>'Data Operasional'!F52</x:f>
        <x:v>16000</x:v>
      </x:c>
      <x:c r="H64" s="7" t="n">
        <x:v>0</x:v>
      </x:c>
      <x:c r="I64" s="3" t="n">
        <x:v>0</x:v>
      </x:c>
      <x:c r="J64" s="8" t="n">
        <x:f>ROUND('Rumus Perhitungan'!E39*0.55,0)</x:f>
        <x:v>1398613333</x:v>
      </x:c>
      <x:c r="K64" s="8" t="n">
        <x:f>ROUND('Rumus Perhitungan'!E39*0.06,0)</x:f>
        <x:v>152576000</x:v>
      </x:c>
      <x:c r="L64" s="8" t="n">
        <x:f>ROUND('Rumus Perhitungan'!E39*0.04,0)</x:f>
        <x:v>101717333</x:v>
      </x:c>
      <x:c r="M64" s="8" t="n">
        <x:f>'Rumus Perhitungan'!E39-SUM(J64:L64,P64:Q64)</x:f>
        <x:v>762880000</x:v>
      </x:c>
      <x:c r="N64" s="8" t="n">
        <x:f>P64*5</x:f>
        <x:v>445013335</x:v>
      </x:c>
      <x:c r="O64" s="8" t="n">
        <x:f>Q64*40</x:f>
        <x:v>1525760000</x:v>
      </x:c>
      <x:c r="P64" s="8" t="n">
        <x:f>ROUND('Rumus Perhitungan'!E39*0.035,0)</x:f>
        <x:v>89002667</x:v>
      </x:c>
      <x:c r="Q64" s="8" t="n">
        <x:f>ROUND('Rumus Perhitungan'!E39*0.015,0)</x:f>
        <x:v>38144000</x:v>
      </x:c>
      <x:c r="R64" s="8" t="n">
        <x:v>128</x:v>
      </x:c>
      <x:c r="S64" s="8" t="n">
        <x:f>SUM(J64:M64,P64:Q64)</x:f>
        <x:v>2542933333</x:v>
      </x:c>
    </x:row>
    <x:row r="65" ht="34" customHeight="1">
      <x:c r="A65" s="3" t="n">
        <x:v>28</x:v>
      </x:c>
      <x:c r="B65" s="3" t="str">
        <x:v>Gigi dan Mulut</x:v>
      </x:c>
      <x:c r="C65" s="3" t="str">
        <x:v>jumlah_kunjungan</x:v>
      </x:c>
      <x:c r="D65" s="3" t="n">
        <x:v>15</x:v>
      </x:c>
      <x:c r="E65" s="3" t="n">
        <x:v>0</x:v>
      </x:c>
      <x:c r="F65" s="3" t="n">
        <x:v>0</x:v>
      </x:c>
      <x:c r="G65" s="3" t="n">
        <x:f>'Data Operasional'!F53</x:f>
        <x:v>18000</x:v>
      </x:c>
      <x:c r="H65" s="7" t="n">
        <x:v>0</x:v>
      </x:c>
      <x:c r="I65" s="3" t="n">
        <x:v>0</x:v>
      </x:c>
      <x:c r="J65" s="8" t="n">
        <x:f>ROUND('Rumus Perhitungan'!E40*0.55,0)</x:f>
        <x:v>1394800000</x:v>
      </x:c>
      <x:c r="K65" s="8" t="n">
        <x:f>ROUND('Rumus Perhitungan'!E40*0.06,0)</x:f>
        <x:v>152160000</x:v>
      </x:c>
      <x:c r="L65" s="8" t="n">
        <x:f>ROUND('Rumus Perhitungan'!E40*0.04,0)</x:f>
        <x:v>101440000</x:v>
      </x:c>
      <x:c r="M65" s="8" t="n">
        <x:f>'Rumus Perhitungan'!E40-SUM(J65:L65,P65:Q65)</x:f>
        <x:v>760800000</x:v>
      </x:c>
      <x:c r="N65" s="8" t="n">
        <x:f>P65*5</x:f>
        <x:v>443800000</x:v>
      </x:c>
      <x:c r="O65" s="8" t="n">
        <x:f>Q65*40</x:f>
        <x:v>1521600000</x:v>
      </x:c>
      <x:c r="P65" s="8" t="n">
        <x:f>ROUND('Rumus Perhitungan'!E40*0.035,0)</x:f>
        <x:v>88760000</x:v>
      </x:c>
      <x:c r="Q65" s="8" t="n">
        <x:f>ROUND('Rumus Perhitungan'!E40*0.015,0)</x:f>
        <x:v>38040000</x:v>
      </x:c>
      <x:c r="R65" s="8" t="n">
        <x:v>134</x:v>
      </x:c>
      <x:c r="S65" s="8" t="n">
        <x:f>SUM(J65:M65,P65:Q65)</x:f>
        <x:v>2536000000</x:v>
      </x:c>
    </x:row>
    <x:row r="66" ht="34" customHeight="1">
      <x:c r="A66" s="3" t="n">
        <x:v>29</x:v>
      </x:c>
      <x:c r="B66" s="3" t="str">
        <x:v>Forensik dan Medikolegal</x:v>
      </x:c>
      <x:c r="C66" s="3" t="str">
        <x:v>jumlah_kunjungan</x:v>
      </x:c>
      <x:c r="D66" s="3" t="n">
        <x:v>8</x:v>
      </x:c>
      <x:c r="E66" s="3" t="n">
        <x:v>0</x:v>
      </x:c>
      <x:c r="F66" s="3" t="n">
        <x:v>0</x:v>
      </x:c>
      <x:c r="G66" s="3" t="n">
        <x:f>'Data Operasional'!F54</x:f>
        <x:v>4000</x:v>
      </x:c>
      <x:c r="H66" s="7" t="n">
        <x:v>0</x:v>
      </x:c>
      <x:c r="I66" s="3" t="n">
        <x:v>0</x:v>
      </x:c>
      <x:c r="J66" s="8" t="n">
        <x:f>ROUND('Rumus Perhitungan'!E41*0.55,0)</x:f>
        <x:v>673493333</x:v>
      </x:c>
      <x:c r="K66" s="8" t="n">
        <x:f>ROUND('Rumus Perhitungan'!E41*0.06,0)</x:f>
        <x:v>73472000</x:v>
      </x:c>
      <x:c r="L66" s="8" t="n">
        <x:f>ROUND('Rumus Perhitungan'!E41*0.04,0)</x:f>
        <x:v>48981333</x:v>
      </x:c>
      <x:c r="M66" s="8" t="n">
        <x:f>'Rumus Perhitungan'!E41-SUM(J66:L66,P66:Q66)</x:f>
        <x:v>367360000</x:v>
      </x:c>
      <x:c r="N66" s="8" t="n">
        <x:f>P66*5</x:f>
        <x:v>214293335</x:v>
      </x:c>
      <x:c r="O66" s="8" t="n">
        <x:f>Q66*40</x:f>
        <x:v>734720000</x:v>
      </x:c>
      <x:c r="P66" s="8" t="n">
        <x:f>ROUND('Rumus Perhitungan'!E41*0.035,0)</x:f>
        <x:v>42858667</x:v>
      </x:c>
      <x:c r="Q66" s="8" t="n">
        <x:f>ROUND('Rumus Perhitungan'!E41*0.015,0)</x:f>
        <x:v>18368000</x:v>
      </x:c>
      <x:c r="R66" s="8" t="n">
        <x:v>92</x:v>
      </x:c>
      <x:c r="S66" s="8" t="n">
        <x:f>SUM(J66:M66,P66:Q66)</x:f>
        <x:v>1224533333</x:v>
      </x:c>
    </x:row>
    <x:row r="67" ht="34" customHeight="1">
      <x:c r="A67" s="3" t="n">
        <x:v>30</x:v>
      </x:c>
      <x:c r="B67" s="3" t="str">
        <x:v>Poliklinik Rehabilitasi Medik</x:v>
      </x:c>
      <x:c r="C67" s="3" t="str">
        <x:v>jumlah_kunjungan</x:v>
      </x:c>
      <x:c r="D67" s="3" t="n">
        <x:v>17</x:v>
      </x:c>
      <x:c r="E67" s="3" t="n">
        <x:v>0</x:v>
      </x:c>
      <x:c r="F67" s="3" t="n">
        <x:v>0</x:v>
      </x:c>
      <x:c r="G67" s="3" t="n">
        <x:f>'Data Operasional'!F55</x:f>
        <x:v>22000</x:v>
      </x:c>
      <x:c r="H67" s="7" t="n">
        <x:v>0</x:v>
      </x:c>
      <x:c r="I67" s="3" t="n">
        <x:v>0</x:v>
      </x:c>
      <x:c r="J67" s="8" t="n">
        <x:f>ROUND('Rumus Perhitungan'!E42*0.55,0)</x:f>
        <x:v>1739173333</x:v>
      </x:c>
      <x:c r="K67" s="8" t="n">
        <x:f>ROUND('Rumus Perhitungan'!E42*0.06,0)</x:f>
        <x:v>189728000</x:v>
      </x:c>
      <x:c r="L67" s="8" t="n">
        <x:f>ROUND('Rumus Perhitungan'!E42*0.04,0)</x:f>
        <x:v>126485333</x:v>
      </x:c>
      <x:c r="M67" s="8" t="n">
        <x:f>'Rumus Perhitungan'!E42-SUM(J67:L67,P67:Q67)</x:f>
        <x:v>948640000</x:v>
      </x:c>
      <x:c r="N67" s="8" t="n">
        <x:f>P67*5</x:f>
        <x:v>553373335</x:v>
      </x:c>
      <x:c r="O67" s="8" t="n">
        <x:f>Q67*40</x:f>
        <x:v>1897280000</x:v>
      </x:c>
      <x:c r="P67" s="8" t="n">
        <x:f>ROUND('Rumus Perhitungan'!E42*0.035,0)</x:f>
        <x:v>110674667</x:v>
      </x:c>
      <x:c r="Q67" s="8" t="n">
        <x:f>ROUND('Rumus Perhitungan'!E42*0.015,0)</x:f>
        <x:v>47432000</x:v>
      </x:c>
      <x:c r="R67" s="8" t="n">
        <x:v>146</x:v>
      </x:c>
      <x:c r="S67" s="8" t="n">
        <x:f>SUM(J67:M67,P67:Q67)</x:f>
        <x:v>3162133333</x:v>
      </x:c>
    </x:row>
    <x:row r="68" ht="34" customHeight="1">
      <x:c r="A68" s="6"/>
      <x:c r="B68" s="6" t="str">
        <x:v>TOTAL FINAL</x:v>
      </x:c>
      <x:c r="C68" s="6"/>
      <x:c r="D68" s="6" t="n">
        <x:f>SUM(D38:D67)</x:f>
        <x:v>600</x:v>
      </x:c>
      <x:c r="E68" s="6" t="n">
        <x:f>SUM(E38:E67)</x:f>
        <x:v>86505</x:v>
      </x:c>
      <x:c r="F68" s="6" t="n">
        <x:f>SUM(F38:F67)</x:f>
        <x:v>19345</x:v>
      </x:c>
      <x:c r="G68" s="6" t="n">
        <x:f>SUM(G38:G67)</x:f>
        <x:v>441000</x:v>
      </x:c>
      <x:c r="H68" s="6"/>
      <x:c r="I68" s="6" t="n">
        <x:f>SUM(I38:I67)</x:f>
        <x:v>300</x:v>
      </x:c>
      <x:c r="J68" s="15" t="n">
        <x:f>SUM(J38:J67)</x:f>
        <x:v>71284592499</x:v>
      </x:c>
      <x:c r="K68" s="15" t="n">
        <x:f>SUM(K38:K67)</x:f>
        <x:v>7776501000</x:v>
      </x:c>
      <x:c r="L68" s="15" t="n">
        <x:f>SUM(L38:L67)</x:f>
        <x:v>5184333999</x:v>
      </x:c>
      <x:c r="M68" s="15" t="n">
        <x:f>SUM(M38:M67)</x:f>
        <x:v>38882505000</x:v>
      </x:c>
      <x:c r="N68" s="15" t="n">
        <x:f>SUM(N38:N67)</x:f>
        <x:v>22681461255</x:v>
      </x:c>
      <x:c r="O68" s="15" t="n">
        <x:f>SUM(O38:O67)</x:f>
        <x:v>77765010000</x:v>
      </x:c>
      <x:c r="P68" s="15" t="n">
        <x:f>SUM(P38:P67)</x:f>
        <x:v>4536292251</x:v>
      </x:c>
      <x:c r="Q68" s="15" t="n">
        <x:f>SUM(Q38:Q67)</x:f>
        <x:v>1944125250</x:v>
      </x:c>
      <x:c r="R68" s="15" t="n">
        <x:f>SUM(R38:R67)</x:f>
        <x:v>7497</x:v>
      </x:c>
      <x:c r="S68" s="15" t="n">
        <x:f>SUM(S38:S67)</x:f>
        <x:v>129608349999</x:v>
      </x:c>
    </x:row>
    <x:row r="69" ht="34" customHeight="1">
      <x:c r="A69" s="6"/>
      <x:c r="B69" s="6" t="str">
        <x:v>TOTAL BIAYA COSTING RS</x:v>
      </x:c>
      <x:c r="C69" s="6"/>
      <x:c r="D69" s="6" t="n">
        <x:f>SUM(D18,D34,D68)</x:f>
        <x:v>900</x:v>
      </x:c>
      <x:c r="E69" s="6"/>
      <x:c r="F69" s="6"/>
      <x:c r="G69" s="6"/>
      <x:c r="H69" s="6"/>
      <x:c r="I69" s="6"/>
      <x:c r="J69" s="15" t="n">
        <x:f>SUM(J18,J34,J68)</x:f>
        <x:v>86772592499</x:v>
      </x:c>
      <x:c r="K69" s="15" t="n">
        <x:f>SUM(K18,K34,K68)</x:f>
        <x:v>9466101000</x:v>
      </x:c>
      <x:c r="L69" s="15" t="n">
        <x:f>SUM(L18,L34,L68)</x:f>
        <x:v>6310733999</x:v>
      </x:c>
      <x:c r="M69" s="15" t="n">
        <x:f>SUM(M18,M34,M68)</x:f>
        <x:v>47330505000</x:v>
      </x:c>
      <x:c r="N69" s="15" t="n">
        <x:f>SUM(N18,N34,N68)</x:f>
        <x:v>27609461255</x:v>
      </x:c>
      <x:c r="O69" s="15" t="n">
        <x:f>SUM(O18,O34,O68)</x:f>
        <x:v>94661010000</x:v>
      </x:c>
      <x:c r="P69" s="15" t="n">
        <x:f>SUM(P18,P34,P68)</x:f>
        <x:v>5521892251</x:v>
      </x:c>
      <x:c r="Q69" s="15" t="n">
        <x:f>SUM(Q18,Q34,Q68)</x:f>
        <x:v>2366525250</x:v>
      </x:c>
      <x:c r="R69" s="15" t="n">
        <x:f>SUM(R18,R34,R68)</x:f>
        <x:v>12787</x:v>
      </x:c>
      <x:c r="S69" s="15" t="n">
        <x:f>SUM(S18,S34,S68)</x:f>
        <x:v>157768349999</x:v>
      </x:c>
    </x:row>
  </x:sheetData>
  <x:mergeCells>
    <x:mergeCell ref="A1:S1"/>
    <x:mergeCell ref="A4:S4"/>
    <x:mergeCell ref="A20:S20"/>
    <x:mergeCell ref="A36:S36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48" hidden="0" customWidth="1"/>
    <x:col min="2" max="2" width="25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25" hidden="0" customWidth="1"/>
    <x:col min="10" max="10" width="25" hidden="0" customWidth="1"/>
    <x:col min="11" max="11" width="25" hidden="0" customWidth="1"/>
  </x:cols>
  <x:sheetData>
    <x:row r="1" ht="34" customHeight="1">
      <x:c r="A1" s="6" t="str">
        <x:v>PERHITUNGAN SIMULASI UNIT COST SETELAH ALOKASI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</x:row>
    <x:row r="2" ht="34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 ht="34" customHeight="1">
      <x:c r="A3" s="3" t="str">
        <x:v>Total biaya overhead</x:v>
      </x:c>
      <x:c r="B3" s="16" t="n">
        <x:f>'Costing Template'!S18</x:f>
        <x:v>7360000000</x:v>
      </x:c>
      <x:c r="C3" s="3"/>
      <x:c r="D3" s="3"/>
      <x:c r="E3" s="3"/>
      <x:c r="F3" s="3"/>
      <x:c r="G3" s="3"/>
      <x:c r="H3" s="3"/>
      <x:c r="I3" s="3"/>
      <x:c r="J3" s="3"/>
      <x:c r="K3" s="3"/>
    </x:row>
    <x:row r="4" ht="34" customHeight="1">
      <x:c r="A4" s="3" t="str">
        <x:v>Total biaya intermediate</x:v>
      </x:c>
      <x:c r="B4" s="16" t="n">
        <x:f>'Costing Template'!S34</x:f>
        <x:v>20800000000</x:v>
      </x:c>
      <x:c r="C4" s="3"/>
      <x:c r="D4" s="3"/>
      <x:c r="E4" s="3"/>
      <x:c r="F4" s="3"/>
      <x:c r="G4" s="3"/>
      <x:c r="H4" s="3"/>
      <x:c r="I4" s="3"/>
      <x:c r="J4" s="3"/>
      <x:c r="K4" s="3"/>
    </x:row>
    <x:row r="5" ht="34" customHeight="1">
      <x:c r="A5" s="3" t="str">
        <x:v>Jumlah staf penerima overhead</x:v>
      </x:c>
      <x:c r="B5" s="16" t="n">
        <x:f>SUM('Costing Template'!D22:D33,'Costing Template'!D38:D67)</x:f>
        <x:v>808</x:v>
      </x:c>
      <x:c r="C5" s="3"/>
      <x:c r="D5" s="3"/>
      <x:c r="E5" s="3"/>
      <x:c r="F5" s="3"/>
      <x:c r="G5" s="3"/>
      <x:c r="H5" s="3"/>
      <x:c r="I5" s="3"/>
      <x:c r="J5" s="3"/>
      <x:c r="K5" s="3"/>
    </x:row>
    <x:row r="6" ht="34" customHeight="1">
      <x:c r="A6" s="3" t="str">
        <x:v>Jumlah staf final</x:v>
      </x:c>
      <x:c r="B6" s="16" t="n">
        <x:f>SUM('Costing Template'!D38:D67)</x:f>
        <x:v>600</x:v>
      </x:c>
      <x:c r="C6" s="3"/>
      <x:c r="D6" s="3"/>
      <x:c r="E6" s="3"/>
      <x:c r="F6" s="3"/>
      <x:c r="G6" s="3"/>
      <x:c r="H6" s="3"/>
      <x:c r="I6" s="3"/>
      <x:c r="J6" s="3"/>
      <x:c r="K6" s="3"/>
    </x:row>
    <x:row r="7" ht="34" customHeight="1">
      <x:c r="A7" s="3" t="str">
        <x:v>Bagian overhead ke intermediate</x:v>
      </x:c>
      <x:c r="B7" s="16" t="n">
        <x:f>B3*SUM('Costing Template'!D22:D33)/B5</x:f>
        <x:v>1894653465.3465347</x:v>
      </x:c>
      <x:c r="C7" s="3"/>
      <x:c r="D7" s="3"/>
      <x:c r="E7" s="3"/>
      <x:c r="F7" s="3"/>
      <x:c r="G7" s="3"/>
      <x:c r="H7" s="3"/>
      <x:c r="I7" s="3"/>
      <x:c r="J7" s="3"/>
      <x:c r="K7" s="3"/>
    </x:row>
    <x:row r="8" ht="34" customHeight="1">
      <x:c r="A8" s="3" t="str">
        <x:v>Pool intermediate setelah overhead</x:v>
      </x:c>
      <x:c r="B8" s="16" t="n">
        <x:f>B4+B7</x:f>
        <x:v>22694653465.346535</x:v>
      </x:c>
      <x:c r="C8" s="3"/>
      <x:c r="D8" s="3"/>
      <x:c r="E8" s="3"/>
      <x:c r="F8" s="3"/>
      <x:c r="G8" s="3"/>
      <x:c r="H8" s="3"/>
      <x:c r="I8" s="3"/>
      <x:c r="J8" s="3"/>
      <x:c r="K8" s="3"/>
    </x:row>
    <x:row r="9" ht="62" customHeight="1">
      <x:c r="A9" s="3" t="str">
        <x:v>Basis alokasi</x:v>
      </x:c>
      <x:c r="B9" s="3" t="str">
        <x:v>Overhead ke Intermediate/Final menurut staf; Intermediate ke Final menurut staf.</x:v>
      </x:c>
      <x:c r="C9" s="3"/>
      <x:c r="D9" s="3"/>
      <x:c r="E9" s="3"/>
      <x:c r="F9" s="3"/>
      <x:c r="G9" s="3"/>
      <x:c r="H9" s="3"/>
      <x:c r="I9" s="3"/>
      <x:c r="J9" s="3"/>
      <x:c r="K9" s="3"/>
    </x:row>
    <x:row r="10" ht="62" customHeight="1">
      <x:c r="A10" s="3" t="str">
        <x:v>Metode simulasi</x:v>
      </x:c>
      <x:c r="B10" s="3" t="str">
        <x:v>Alokasi bertahap dua kelompok; tidak ada biaya yang dicatat dua kali.</x:v>
      </x:c>
      <x:c r="C10" s="3"/>
      <x:c r="D10" s="3"/>
      <x:c r="E10" s="3"/>
      <x:c r="F10" s="3"/>
      <x:c r="G10" s="3"/>
      <x:c r="H10" s="3"/>
      <x:c r="I10" s="3"/>
      <x:c r="J10" s="3"/>
      <x:c r="K10" s="3"/>
    </x:row>
    <x:row r="11" ht="34" customHeight="1">
      <x:c r="A11" s="3"/>
      <x:c r="B11" s="3"/>
      <x:c r="C11" s="3"/>
      <x:c r="D11" s="3"/>
      <x:c r="E11" s="3"/>
      <x:c r="F11" s="3"/>
      <x:c r="G11" s="3"/>
      <x:c r="H11" s="3"/>
      <x:c r="I11" s="3"/>
      <x:c r="J11" s="3"/>
      <x:c r="K11" s="3"/>
    </x:row>
    <x:row r="12" ht="64" customHeight="1">
      <x:c r="A12" s="6" t="str">
        <x:v>Unit final</x:v>
      </x:c>
      <x:c r="B12" s="6" t="str">
        <x:v>Volume pembagi</x:v>
      </x:c>
      <x:c r="C12" s="6" t="str">
        <x:v>Target UC (Rp)</x:v>
      </x:c>
      <x:c r="D12" s="6" t="str">
        <x:v>Biaya target total</x:v>
      </x:c>
      <x:c r="E12" s="6" t="str">
        <x:v>Biaya langsung dikalibrasi</x:v>
      </x:c>
      <x:c r="F12" s="6" t="str">
        <x:v>Alokasi overhead</x:v>
      </x:c>
      <x:c r="G12" s="6" t="str">
        <x:v>Alokasi intermediate</x:v>
      </x:c>
      <x:c r="H12" s="6" t="str">
        <x:v>Biaya penuh</x:v>
      </x:c>
      <x:c r="I12" s="6" t="str">
        <x:v>UC setelah alokasi</x:v>
      </x:c>
      <x:c r="J12" s="6" t="str">
        <x:v>UC langsung di tampilan aplikasi</x:v>
      </x:c>
      <x:c r="K12" s="6" t="str">
        <x:v>Selisih dari target</x:v>
      </x:c>
    </x:row>
    <x:row r="13" ht="34" customHeight="1">
      <x:c r="A13" s="3" t="str">
        <x:v>Kamar Rawat Inap Standar (KRIS) C</x:v>
      </x:c>
      <x:c r="B13" s="8" t="n">
        <x:f>'Costing Template'!E38</x:f>
        <x:v>43800</x:v>
      </x:c>
      <x:c r="C13" s="18" t="n">
        <x:v>385000</x:v>
      </x:c>
      <x:c r="D13" s="8" t="n">
        <x:f>B13*C13</x:f>
        <x:v>16863000000</x:v>
      </x:c>
      <x:c r="E13" s="8" t="n">
        <x:f>ROUND(D13-F13-G13,0)</x:f>
        <x:v>13249133333</x:v>
      </x:c>
      <x:c r="F13" s="8" t="n">
        <x:f>$B$3*'Costing Template'!D38/$B$5</x:f>
        <x:v>701386138.6138614</x:v>
      </x:c>
      <x:c r="G13" s="8" t="n">
        <x:f>$B$8*'Costing Template'!D38/$B$6</x:f>
        <x:v>2912480528.052805</x:v>
      </x:c>
      <x:c r="H13" s="8" t="n">
        <x:f>'Costing Template'!S38+F13+G13</x:f>
        <x:v>16862999999.666666</x:v>
      </x:c>
      <x:c r="I13" s="16" t="n">
        <x:f>H13/B13</x:f>
        <x:v>384999.99999238964</x:v>
      </x:c>
      <x:c r="J13" s="16" t="n">
        <x:f>'Costing Template'!S38/B13</x:f>
        <x:v>302491.62860730593</x:v>
      </x:c>
      <x:c r="K13" s="16" t="n">
        <x:f>I13-C13</x:f>
        <x:v>-0.000007610360626131296</x:v>
      </x:c>
    </x:row>
    <x:row r="14" ht="34" customHeight="1">
      <x:c r="A14" s="3" t="str">
        <x:v>Kamar Rawat Inap Standar (KRIS) B</x:v>
      </x:c>
      <x:c r="B14" s="8" t="n">
        <x:f>'Costing Template'!E39</x:f>
        <x:v>20440</x:v>
      </x:c>
      <x:c r="C14" s="18" t="n">
        <x:v>455000</x:v>
      </x:c>
      <x:c r="D14" s="8" t="n">
        <x:f>B14*C14</x:f>
        <x:v>9300200000</x:v>
      </x:c>
      <x:c r="E14" s="8" t="n">
        <x:f>ROUND(D14-F14-G14,0)</x:f>
        <x:v>7422866667</x:v>
      </x:c>
      <x:c r="F14" s="8" t="n">
        <x:f>$B$3*'Costing Template'!D39/$B$5</x:f>
        <x:v>364356435.64356434</x:v>
      </x:c>
      <x:c r="G14" s="8" t="n">
        <x:f>$B$8*'Costing Template'!D39/$B$6</x:f>
        <x:v>1512976897.6897688</x:v>
      </x:c>
      <x:c r="H14" s="8" t="n">
        <x:f>'Costing Template'!S39+F14+G14</x:f>
        <x:v>9300200000.333332</x:v>
      </x:c>
      <x:c r="I14" s="16" t="n">
        <x:f>H14/B14</x:f>
        <x:v>455000.0000163078</x:v>
      </x:c>
      <x:c r="J14" s="16" t="n">
        <x:f>'Costing Template'!S39/B14</x:f>
        <x:v>363153.9465264188</x:v>
      </x:c>
      <x:c r="K14" s="16" t="n">
        <x:f>I14-C14</x:f>
        <x:v>0.00001630780752748251</x:v>
      </x:c>
    </x:row>
    <x:row r="15" ht="34" customHeight="1">
      <x:c r="A15" s="3" t="str">
        <x:v>Kamar Rawat Inap Standar (KRIS) A</x:v>
      </x:c>
      <x:c r="B15" s="8" t="n">
        <x:f>'Costing Template'!E40</x:f>
        <x:v>11680</x:v>
      </x:c>
      <x:c r="C15" s="18" t="n">
        <x:v>605000</x:v>
      </x:c>
      <x:c r="D15" s="8" t="n">
        <x:f>B15*C15</x:f>
        <x:v>7066400000</x:v>
      </x:c>
      <x:c r="E15" s="8" t="n">
        <x:f>ROUND(D15-F15-G15,0)</x:f>
        <x:v>5658400000</x:v>
      </x:c>
      <x:c r="F15" s="8" t="n">
        <x:f>$B$3*'Costing Template'!D40/$B$5</x:f>
        <x:v>273267326.7326733</x:v>
      </x:c>
      <x:c r="G15" s="8" t="n">
        <x:f>$B$8*'Costing Template'!D40/$B$6</x:f>
        <x:v>1134732673.2673266</x:v>
      </x:c>
      <x:c r="H15" s="8" t="n">
        <x:f>'Costing Template'!S40+F15+G15</x:f>
        <x:v>7066400000</x:v>
      </x:c>
      <x:c r="I15" s="16" t="n">
        <x:f>H15/B15</x:f>
        <x:v>605000</x:v>
      </x:c>
      <x:c r="J15" s="16" t="n">
        <x:f>'Costing Template'!S40/B15</x:f>
        <x:v>484452.05479452055</x:v>
      </x:c>
      <x:c r="K15" s="16" t="n">
        <x:f>I15-C15</x:f>
        <x:v>0</x:v>
      </x:c>
    </x:row>
    <x:row r="16" ht="34" customHeight="1">
      <x:c r="A16" s="3" t="str">
        <x:v>Kamar VIP/VVIP/Suite</x:v>
      </x:c>
      <x:c r="B16" s="8" t="n">
        <x:f>'Costing Template'!E41</x:f>
        <x:v>5475</x:v>
      </x:c>
      <x:c r="C16" s="18" t="n">
        <x:v>850000</x:v>
      </x:c>
      <x:c r="D16" s="8" t="n">
        <x:f>B16*C16</x:f>
        <x:v>4653750000</x:v>
      </x:c>
      <x:c r="E16" s="8" t="n">
        <x:f>ROUND(D16-F16-G16,0)</x:f>
        <x:v>3762016667</x:v>
      </x:c>
      <x:c r="F16" s="8" t="n">
        <x:f>$B$3*'Costing Template'!D41/$B$5</x:f>
        <x:v>173069306.93069306</x:v>
      </x:c>
      <x:c r="G16" s="8" t="n">
        <x:f>$B$8*'Costing Template'!D41/$B$6</x:f>
        <x:v>718664026.4026402</x:v>
      </x:c>
      <x:c r="H16" s="8" t="n">
        <x:f>'Costing Template'!S41+F16+G16</x:f>
        <x:v>4653750000.333333</x:v>
      </x:c>
      <x:c r="I16" s="16" t="n">
        <x:f>H16/B16</x:f>
        <x:v>850000.0000608828</x:v>
      </x:c>
      <x:c r="J16" s="16" t="n">
        <x:f>'Costing Template'!S41/B16</x:f>
        <x:v>687126.3318721461</x:v>
      </x:c>
      <x:c r="K16" s="16" t="n">
        <x:f>I16-C16</x:f>
        <x:v>0.00006088276859372854</x:v>
      </x:c>
    </x:row>
    <x:row r="17" ht="34" customHeight="1">
      <x:c r="A17" s="3" t="str">
        <x:v>Kamar ICU/ICCU/NICU/PICU/HCU</x:v>
      </x:c>
      <x:c r="B17" s="8" t="n">
        <x:f>'Costing Template'!E42</x:f>
        <x:v>5110</x:v>
      </x:c>
      <x:c r="C17" s="18" t="n">
        <x:v>1500000</x:v>
      </x:c>
      <x:c r="D17" s="8" t="n">
        <x:f>B17*C17</x:f>
        <x:v>7665000000</x:v>
      </x:c>
      <x:c r="E17" s="8" t="n">
        <x:f>ROUND(D17-F17-G17,0)</x:f>
        <x:v>5036733333</x:v>
      </x:c>
      <x:c r="F17" s="8" t="n">
        <x:f>$B$3*'Costing Template'!D42/$B$5</x:f>
        <x:v>510099009.9009901</x:v>
      </x:c>
      <x:c r="G17" s="8" t="n">
        <x:f>$B$8*'Costing Template'!D42/$B$6</x:f>
        <x:v>2118167656.7656767</x:v>
      </x:c>
      <x:c r="H17" s="8" t="n">
        <x:f>'Costing Template'!S42+F17+G17</x:f>
        <x:v>7664999999.666667</x:v>
      </x:c>
      <x:c r="I17" s="16" t="n">
        <x:f>H17/B17</x:f>
        <x:v>1499999.9999347685</x:v>
      </x:c>
      <x:c r="J17" s="16" t="n">
        <x:f>'Costing Template'!S42/B17</x:f>
        <x:v>985662.1003913895</x:v>
      </x:c>
      <x:c r="K17" s="16" t="n">
        <x:f>I17-C17</x:f>
        <x:v>-0.00006523146294057369</x:v>
      </x:c>
    </x:row>
    <x:row r="18" ht="34" customHeight="1">
      <x:c r="A18" s="3" t="str">
        <x:v>Instalasi Gawat Darurat (IGD)</x:v>
      </x:c>
      <x:c r="B18" s="8" t="n">
        <x:f>'Costing Template'!G43</x:f>
        <x:v>42000</x:v>
      </x:c>
      <x:c r="C18" s="18" t="n">
        <x:v>260000</x:v>
      </x:c>
      <x:c r="D18" s="8" t="n">
        <x:f>B18*C18</x:f>
        <x:v>10920000000</x:v>
      </x:c>
      <x:c r="E18" s="8" t="n">
        <x:f>ROUND(D18-F18-G18,0)</x:f>
        <x:v>8995733333</x:v>
      </x:c>
      <x:c r="F18" s="8" t="n">
        <x:f>$B$3*'Costing Template'!D43/$B$5</x:f>
        <x:v>373465346.5346535</x:v>
      </x:c>
      <x:c r="G18" s="8" t="n">
        <x:f>$B$8*'Costing Template'!D43/$B$6</x:f>
        <x:v>1550801320.132013</x:v>
      </x:c>
      <x:c r="H18" s="8" t="n">
        <x:f>'Costing Template'!S43+F18+G18</x:f>
        <x:v>10919999999.666666</x:v>
      </x:c>
      <x:c r="I18" s="16" t="n">
        <x:f>H18/B18</x:f>
        <x:v>259999.99999206347</x:v>
      </x:c>
      <x:c r="J18" s="16" t="n">
        <x:f>'Costing Template'!S43/B18</x:f>
        <x:v>214184.12697619048</x:v>
      </x:c>
      <x:c r="K18" s="16" t="n">
        <x:f>I18-C18</x:f>
        <x:v>-0.00000793652725405991</x:v>
      </x:c>
    </x:row>
    <x:row r="19" ht="34" customHeight="1">
      <x:c r="A19" s="3" t="str">
        <x:v>Neoplasma dan Myeloproliferative</x:v>
      </x:c>
      <x:c r="B19" s="8" t="n">
        <x:f>'Costing Template'!G44</x:f>
        <x:v>36000</x:v>
      </x:c>
      <x:c r="C19" s="18" t="n">
        <x:v>330000</x:v>
      </x:c>
      <x:c r="D19" s="8" t="n">
        <x:f>B19*C19</x:f>
        <x:v>11880000000</x:v>
      </x:c>
      <x:c r="E19" s="8" t="n">
        <x:f>ROUND(D19-F19-G19,0)</x:f>
        <x:v>10706666667</x:v>
      </x:c>
      <x:c r="F19" s="8" t="n">
        <x:f>$B$3*'Costing Template'!D44/$B$5</x:f>
        <x:v>227722772.27722773</x:v>
      </x:c>
      <x:c r="G19" s="8" t="n">
        <x:f>$B$8*'Costing Template'!D44/$B$6</x:f>
        <x:v>945610561.0561055</x:v>
      </x:c>
      <x:c r="H19" s="8" t="n">
        <x:f>'Costing Template'!S44+F19+G19</x:f>
        <x:v>11880000000.333332</x:v>
      </x:c>
      <x:c r="I19" s="16" t="n">
        <x:f>H19/B19</x:f>
        <x:v>330000.0000092592</x:v>
      </x:c>
      <x:c r="J19" s="16" t="n">
        <x:f>'Costing Template'!S44/B19</x:f>
        <x:v>297407.4074166667</x:v>
      </x:c>
      <x:c r="K19" s="16" t="n">
        <x:f>I19-C19</x:f>
        <x:v>0.000009259209036827087</x:v>
      </x:c>
    </x:row>
    <x:row r="20" ht="34" customHeight="1">
      <x:c r="A20" s="3" t="str">
        <x:v>Jantung dan Pembuluh Darah</x:v>
      </x:c>
      <x:c r="B20" s="8" t="n">
        <x:f>'Costing Template'!G45</x:f>
        <x:v>32000</x:v>
      </x:c>
      <x:c r="C20" s="18" t="n">
        <x:v>280000</x:v>
      </x:c>
      <x:c r="D20" s="8" t="n">
        <x:f>B20*C20</x:f>
        <x:v>8960000000</x:v>
      </x:c>
      <x:c r="E20" s="8" t="n">
        <x:f>ROUND(D20-F20-G20,0)</x:f>
        <x:v>7880533333</x:v>
      </x:c>
      <x:c r="F20" s="8" t="n">
        <x:f>$B$3*'Costing Template'!D45/$B$5</x:f>
        <x:v>209504950.4950495</x:v>
      </x:c>
      <x:c r="G20" s="8" t="n">
        <x:f>$B$8*'Costing Template'!D45/$B$6</x:f>
        <x:v>869961716.1716172</x:v>
      </x:c>
      <x:c r="H20" s="8" t="n">
        <x:f>'Costing Template'!S45+F20+G20</x:f>
        <x:v>8959999999.666666</x:v>
      </x:c>
      <x:c r="I20" s="16" t="n">
        <x:f>H20/B20</x:f>
        <x:v>279999.99998958333</x:v>
      </x:c>
      <x:c r="J20" s="16" t="n">
        <x:f>'Costing Template'!S45/B20</x:f>
        <x:v>246266.66665625</x:v>
      </x:c>
      <x:c r="K20" s="16" t="n">
        <x:f>I20-C20</x:f>
        <x:v>-0.000010416668374091387</x:v>
      </x:c>
    </x:row>
    <x:row r="21" ht="34" customHeight="1">
      <x:c r="A21" s="3" t="str">
        <x:v>Saraf / Neuroscience</x:v>
      </x:c>
      <x:c r="B21" s="8" t="n">
        <x:f>'Costing Template'!G46</x:f>
        <x:v>18000</x:v>
      </x:c>
      <x:c r="C21" s="18" t="n">
        <x:v>240000</x:v>
      </x:c>
      <x:c r="D21" s="8" t="n">
        <x:f>B21*C21</x:f>
        <x:v>4320000000</x:v>
      </x:c>
      <x:c r="E21" s="8" t="n">
        <x:f>ROUND(D21-F21-G21,0)</x:f>
        <x:v>3616000000</x:v>
      </x:c>
      <x:c r="F21" s="8" t="n">
        <x:f>$B$3*'Costing Template'!D46/$B$5</x:f>
        <x:v>136633663.36633664</x:v>
      </x:c>
      <x:c r="G21" s="8" t="n">
        <x:f>$B$8*'Costing Template'!D46/$B$6</x:f>
        <x:v>567366336.6336633</x:v>
      </x:c>
      <x:c r="H21" s="8" t="n">
        <x:f>'Costing Template'!S46+F21+G21</x:f>
        <x:v>4320000000</x:v>
      </x:c>
      <x:c r="I21" s="16" t="n">
        <x:f>H21/B21</x:f>
        <x:v>240000</x:v>
      </x:c>
      <x:c r="J21" s="16" t="n">
        <x:f>'Costing Template'!S46/B21</x:f>
        <x:v>200888.88888888888</x:v>
      </x:c>
      <x:c r="K21" s="16" t="n">
        <x:f>I21-C21</x:f>
        <x:v>0</x:v>
      </x:c>
    </x:row>
    <x:row r="22" ht="34" customHeight="1">
      <x:c r="A22" s="3" t="str">
        <x:v>Kesehatan Ibu dan Ginekologi</x:v>
      </x:c>
      <x:c r="B22" s="8" t="n">
        <x:f>'Costing Template'!G47</x:f>
        <x:v>16000</x:v>
      </x:c>
      <x:c r="C22" s="18" t="n">
        <x:v>220000</x:v>
      </x:c>
      <x:c r="D22" s="8" t="n">
        <x:f>B22*C22</x:f>
        <x:v>3520000000</x:v>
      </x:c>
      <x:c r="E22" s="8" t="n">
        <x:f>ROUND(D22-F22-G22,0)</x:f>
        <x:v>2862933333</x:v>
      </x:c>
      <x:c r="F22" s="8" t="n">
        <x:f>$B$3*'Costing Template'!D47/$B$5</x:f>
        <x:v>127524752.47524753</x:v>
      </x:c>
      <x:c r="G22" s="8" t="n">
        <x:f>$B$8*'Costing Template'!D47/$B$6</x:f>
        <x:v>529541914.1914192</x:v>
      </x:c>
      <x:c r="H22" s="8" t="n">
        <x:f>'Costing Template'!S47+F22+G22</x:f>
        <x:v>3519999999.6666665</x:v>
      </x:c>
      <x:c r="I22" s="16" t="n">
        <x:f>H22/B22</x:f>
        <x:v>219999.99997916666</x:v>
      </x:c>
      <x:c r="J22" s="16" t="n">
        <x:f>'Costing Template'!S47/B22</x:f>
        <x:v>178933.3333125</x:v>
      </x:c>
      <x:c r="K22" s="16" t="n">
        <x:f>I22-C22</x:f>
        <x:v>-0.000020833336748182774</x:v>
      </x:c>
    </x:row>
    <x:row r="23" ht="34" customHeight="1">
      <x:c r="A23" s="3" t="str">
        <x:v>Kesehatan Neonatus</x:v>
      </x:c>
      <x:c r="B23" s="8" t="n">
        <x:f>'Costing Template'!G48</x:f>
        <x:v>10000</x:v>
      </x:c>
      <x:c r="C23" s="18" t="n">
        <x:v>250000</x:v>
      </x:c>
      <x:c r="D23" s="8" t="n">
        <x:f>B23*C23</x:f>
        <x:v>2500000000</x:v>
      </x:c>
      <x:c r="E23" s="8" t="n">
        <x:f>ROUND(D23-F23-G23,0)</x:f>
        <x:v>2030666667</x:v>
      </x:c>
      <x:c r="F23" s="8" t="n">
        <x:f>$B$3*'Costing Template'!D48/$B$5</x:f>
        <x:v>91089108.91089109</x:v>
      </x:c>
      <x:c r="G23" s="8" t="n">
        <x:f>$B$8*'Costing Template'!D48/$B$6</x:f>
        <x:v>378244224.4224422</x:v>
      </x:c>
      <x:c r="H23" s="8" t="n">
        <x:f>'Costing Template'!S48+F23+G23</x:f>
        <x:v>2500000000.333333</x:v>
      </x:c>
      <x:c r="I23" s="16" t="n">
        <x:f>H23/B23</x:f>
        <x:v>250000.00003333332</x:v>
      </x:c>
      <x:c r="J23" s="16" t="n">
        <x:f>'Costing Template'!S48/B23</x:f>
        <x:v>203066.6667</x:v>
      </x:c>
      <x:c r="K23" s="16" t="n">
        <x:f>I23-C23</x:f>
        <x:v>0.00003333331551402807</x:v>
      </x:c>
    </x:row>
    <x:row r="24" ht="34" customHeight="1">
      <x:c r="A24" s="3" t="str">
        <x:v>Sistem Pencernaan dan Hepatobiliar</x:v>
      </x:c>
      <x:c r="B24" s="8" t="n">
        <x:f>'Costing Template'!G49</x:f>
        <x:v>26000</x:v>
      </x:c>
      <x:c r="C24" s="18" t="n">
        <x:v>220000</x:v>
      </x:c>
      <x:c r="D24" s="8" t="n">
        <x:f>B24*C24</x:f>
        <x:v>5720000000</x:v>
      </x:c>
      <x:c r="E24" s="8" t="n">
        <x:f>ROUND(D24-F24-G24,0)</x:f>
        <x:v>4828266667</x:v>
      </x:c>
      <x:c r="F24" s="8" t="n">
        <x:f>$B$3*'Costing Template'!D49/$B$5</x:f>
        <x:v>173069306.93069306</x:v>
      </x:c>
      <x:c r="G24" s="8" t="n">
        <x:f>$B$8*'Costing Template'!D49/$B$6</x:f>
        <x:v>718664026.4026402</x:v>
      </x:c>
      <x:c r="H24" s="8" t="n">
        <x:f>'Costing Template'!S49+F24+G24</x:f>
        <x:v>5720000000.333333</x:v>
      </x:c>
      <x:c r="I24" s="16" t="n">
        <x:f>H24/B24</x:f>
        <x:v>220000.0000128205</x:v>
      </x:c>
      <x:c r="J24" s="16" t="n">
        <x:f>'Costing Template'!S49/B24</x:f>
        <x:v>185702.56411538462</x:v>
      </x:c>
      <x:c r="K24" s="16" t="n">
        <x:f>I24-C24</x:f>
        <x:v>0.000012820499250665307</x:v>
      </x:c>
    </x:row>
    <x:row r="25" ht="34" customHeight="1">
      <x:c r="A25" s="3" t="str">
        <x:v>Uronefro (Urologi dan Nefrologi)</x:v>
      </x:c>
      <x:c r="B25" s="8" t="n">
        <x:f>'Costing Template'!G50</x:f>
        <x:v>24000</x:v>
      </x:c>
      <x:c r="C25" s="18" t="n">
        <x:v>360000</x:v>
      </x:c>
      <x:c r="D25" s="8" t="n">
        <x:f>B25*C25</x:f>
        <x:v>8640000000</x:v>
      </x:c>
      <x:c r="E25" s="8" t="n">
        <x:f>ROUND(D25-F25-G25,0)</x:f>
        <x:v>7795200000</x:v>
      </x:c>
      <x:c r="F25" s="8" t="n">
        <x:f>$B$3*'Costing Template'!D50/$B$5</x:f>
        <x:v>163960396.03960395</x:v>
      </x:c>
      <x:c r="G25" s="8" t="n">
        <x:f>$B$8*'Costing Template'!D50/$B$6</x:f>
        <x:v>680839603.960396</x:v>
      </x:c>
      <x:c r="H25" s="8" t="n">
        <x:f>'Costing Template'!S50+F25+G25</x:f>
        <x:v>8640000000</x:v>
      </x:c>
      <x:c r="I25" s="16" t="n">
        <x:f>H25/B25</x:f>
        <x:v>360000</x:v>
      </x:c>
      <x:c r="J25" s="16" t="n">
        <x:f>'Costing Template'!S50/B25</x:f>
        <x:v>324800</x:v>
      </x:c>
      <x:c r="K25" s="16" t="n">
        <x:f>I25-C25</x:f>
        <x:v>0</x:v>
      </x:c>
    </x:row>
    <x:row r="26" ht="34" customHeight="1">
      <x:c r="A26" s="3" t="str">
        <x:v>Musculoskeletal dan Jaringan Lunak</x:v>
      </x:c>
      <x:c r="B26" s="8" t="n">
        <x:f>'Costing Template'!G51</x:f>
        <x:v>18000</x:v>
      </x:c>
      <x:c r="C26" s="18" t="n">
        <x:v>250000</x:v>
      </x:c>
      <x:c r="D26" s="8" t="n">
        <x:f>B26*C26</x:f>
        <x:v>4500000000</x:v>
      </x:c>
      <x:c r="E26" s="8" t="n">
        <x:f>ROUND(D26-F26-G26,0)</x:f>
        <x:v>3796000000</x:v>
      </x:c>
      <x:c r="F26" s="8" t="n">
        <x:f>$B$3*'Costing Template'!D51/$B$5</x:f>
        <x:v>136633663.36633664</x:v>
      </x:c>
      <x:c r="G26" s="8" t="n">
        <x:f>$B$8*'Costing Template'!D51/$B$6</x:f>
        <x:v>567366336.6336633</x:v>
      </x:c>
      <x:c r="H26" s="8" t="n">
        <x:f>'Costing Template'!S51+F26+G26</x:f>
        <x:v>4500000000</x:v>
      </x:c>
      <x:c r="I26" s="16" t="n">
        <x:f>H26/B26</x:f>
        <x:v>250000</x:v>
      </x:c>
      <x:c r="J26" s="16" t="n">
        <x:f>'Costing Template'!S51/B26</x:f>
        <x:v>210888.88888888888</x:v>
      </x:c>
      <x:c r="K26" s="16" t="n">
        <x:f>I26-C26</x:f>
        <x:v>0</x:v>
      </x:c>
    </x:row>
    <x:row r="27" ht="34" customHeight="1">
      <x:c r="A27" s="3" t="str">
        <x:v>Rekonstruksi dan Estetika</x:v>
      </x:c>
      <x:c r="B27" s="8" t="n">
        <x:f>'Costing Template'!G52</x:f>
        <x:v>9000</x:v>
      </x:c>
      <x:c r="C27" s="18" t="n">
        <x:v>300000</x:v>
      </x:c>
      <x:c r="D27" s="8" t="n">
        <x:f>B27*C27</x:f>
        <x:v>2700000000</x:v>
      </x:c>
      <x:c r="E27" s="8" t="n">
        <x:f>ROUND(D27-F27-G27,0)</x:f>
        <x:v>2277600000</x:v>
      </x:c>
      <x:c r="F27" s="8" t="n">
        <x:f>$B$3*'Costing Template'!D52/$B$5</x:f>
        <x:v>81980198.01980197</x:v>
      </x:c>
      <x:c r="G27" s="8" t="n">
        <x:f>$B$8*'Costing Template'!D52/$B$6</x:f>
        <x:v>340419801.980198</x:v>
      </x:c>
      <x:c r="H27" s="8" t="n">
        <x:f>'Costing Template'!S52+F27+G27</x:f>
        <x:v>2700000000</x:v>
      </x:c>
      <x:c r="I27" s="16" t="n">
        <x:f>H27/B27</x:f>
        <x:v>300000</x:v>
      </x:c>
      <x:c r="J27" s="16" t="n">
        <x:f>'Costing Template'!S52/B27</x:f>
        <x:v>253066.66666666666</x:v>
      </x:c>
      <x:c r="K27" s="16" t="n">
        <x:f>I27-C27</x:f>
        <x:v>0</x:v>
      </x:c>
    </x:row>
    <x:row r="28" ht="34" customHeight="1">
      <x:c r="A28" s="3" t="str">
        <x:v>Trauma</x:v>
      </x:c>
      <x:c r="B28" s="8" t="n">
        <x:f>'Costing Template'!G53</x:f>
        <x:v>12000</x:v>
      </x:c>
      <x:c r="C28" s="18" t="n">
        <x:v>280000</x:v>
      </x:c>
      <x:c r="D28" s="8" t="n">
        <x:f>B28*C28</x:f>
        <x:v>3360000000</x:v>
      </x:c>
      <x:c r="E28" s="8" t="n">
        <x:f>ROUND(D28-F28-G28,0)</x:f>
        <x:v>2843733333</x:v>
      </x:c>
      <x:c r="F28" s="8" t="n">
        <x:f>$B$3*'Costing Template'!D53/$B$5</x:f>
        <x:v>100198019.8019802</x:v>
      </x:c>
      <x:c r="G28" s="8" t="n">
        <x:f>$B$8*'Costing Template'!D53/$B$6</x:f>
        <x:v>416068646.8646865</x:v>
      </x:c>
      <x:c r="H28" s="8" t="n">
        <x:f>'Costing Template'!S53+F28+G28</x:f>
        <x:v>3359999999.6666665</x:v>
      </x:c>
      <x:c r="I28" s="16" t="n">
        <x:f>H28/B28</x:f>
        <x:v>279999.9999722222</x:v>
      </x:c>
      <x:c r="J28" s="16" t="n">
        <x:f>'Costing Template'!S53/B28</x:f>
        <x:v>236977.77775</x:v>
      </x:c>
      <x:c r="K28" s="16" t="n">
        <x:f>I28-C28</x:f>
        <x:v>-0.000027777801733464003</x:v>
      </x:c>
    </x:row>
    <x:row r="29" ht="34" customHeight="1">
      <x:c r="A29" s="3" t="str">
        <x:v>Paru</x:v>
      </x:c>
      <x:c r="B29" s="8" t="n">
        <x:f>'Costing Template'!G54</x:f>
        <x:v>15000</x:v>
      </x:c>
      <x:c r="C29" s="18" t="n">
        <x:v>240000</x:v>
      </x:c>
      <x:c r="D29" s="8" t="n">
        <x:f>B29*C29</x:f>
        <x:v>3600000000</x:v>
      </x:c>
      <x:c r="E29" s="8" t="n">
        <x:f>ROUND(D29-F29-G29,0)</x:f>
        <x:v>2989866667</x:v>
      </x:c>
      <x:c r="F29" s="8" t="n">
        <x:f>$B$3*'Costing Template'!D54/$B$5</x:f>
        <x:v>118415841.58415842</x:v>
      </x:c>
      <x:c r="G29" s="8" t="n">
        <x:f>$B$8*'Costing Template'!D54/$B$6</x:f>
        <x:v>491717491.7491749</x:v>
      </x:c>
      <x:c r="H29" s="8" t="n">
        <x:f>'Costing Template'!S54+F29+G29</x:f>
        <x:v>3600000000.3333335</x:v>
      </x:c>
      <x:c r="I29" s="16" t="n">
        <x:f>H29/B29</x:f>
        <x:v>240000.00002222223</x:v>
      </x:c>
      <x:c r="J29" s="16" t="n">
        <x:f>'Costing Template'!S54/B29</x:f>
        <x:v>199324.44446666667</x:v>
      </x:c>
      <x:c r="K29" s="16" t="n">
        <x:f>I29-C29</x:f>
        <x:v>0.00002222222974523902</x:v>
      </x:c>
    </x:row>
    <x:row r="30" ht="34" customHeight="1">
      <x:c r="A30" s="3" t="str">
        <x:v>THT (Telinga, Hidung, Tenggorokan)</x:v>
      </x:c>
      <x:c r="B30" s="8" t="n">
        <x:f>'Costing Template'!G55</x:f>
        <x:v>14000</x:v>
      </x:c>
      <x:c r="C30" s="18" t="n">
        <x:v>200000</x:v>
      </x:c>
      <x:c r="D30" s="8" t="n">
        <x:f>B30*C30</x:f>
        <x:v>2800000000</x:v>
      </x:c>
      <x:c r="E30" s="8" t="n">
        <x:f>ROUND(D30-F30-G30,0)</x:f>
        <x:v>2189866667</x:v>
      </x:c>
      <x:c r="F30" s="8" t="n">
        <x:f>$B$3*'Costing Template'!D55/$B$5</x:f>
        <x:v>118415841.58415842</x:v>
      </x:c>
      <x:c r="G30" s="8" t="n">
        <x:f>$B$8*'Costing Template'!D55/$B$6</x:f>
        <x:v>491717491.7491749</x:v>
      </x:c>
      <x:c r="H30" s="8" t="n">
        <x:f>'Costing Template'!S55+F30+G30</x:f>
        <x:v>2800000000.3333335</x:v>
      </x:c>
      <x:c r="I30" s="16" t="n">
        <x:f>H30/B30</x:f>
        <x:v>200000.00002380952</x:v>
      </x:c>
      <x:c r="J30" s="16" t="n">
        <x:f>'Costing Template'!S55/B30</x:f>
        <x:v>156419.04764285716</x:v>
      </x:c>
      <x:c r="K30" s="16" t="n">
        <x:f>I30-C30</x:f>
        <x:v>0.00002380952355451882</x:v>
      </x:c>
    </x:row>
    <x:row r="31" ht="34" customHeight="1">
      <x:c r="A31" s="3" t="str">
        <x:v>Mata</x:v>
      </x:c>
      <x:c r="B31" s="8" t="n">
        <x:f>'Costing Template'!G56</x:f>
        <x:v>16000</x:v>
      </x:c>
      <x:c r="C31" s="18" t="n">
        <x:v>180000</x:v>
      </x:c>
      <x:c r="D31" s="8" t="n">
        <x:f>B31*C31</x:f>
        <x:v>2880000000</x:v>
      </x:c>
      <x:c r="E31" s="8" t="n">
        <x:f>ROUND(D31-F31-G31,0)</x:f>
        <x:v>2222933333</x:v>
      </x:c>
      <x:c r="F31" s="8" t="n">
        <x:f>$B$3*'Costing Template'!D56/$B$5</x:f>
        <x:v>127524752.47524753</x:v>
      </x:c>
      <x:c r="G31" s="8" t="n">
        <x:f>$B$8*'Costing Template'!D56/$B$6</x:f>
        <x:v>529541914.1914192</x:v>
      </x:c>
      <x:c r="H31" s="8" t="n">
        <x:f>'Costing Template'!S56+F31+G31</x:f>
        <x:v>2879999999.6666665</x:v>
      </x:c>
      <x:c r="I31" s="16" t="n">
        <x:f>H31/B31</x:f>
        <x:v>179999.99997916666</x:v>
      </x:c>
      <x:c r="J31" s="16" t="n">
        <x:f>'Costing Template'!S56/B31</x:f>
        <x:v>138933.3333125</x:v>
      </x:c>
      <x:c r="K31" s="16" t="n">
        <x:f>I31-C31</x:f>
        <x:v>-0.000020833336748182774</x:v>
      </x:c>
    </x:row>
    <x:row r="32" ht="34" customHeight="1">
      <x:c r="A32" s="3" t="str">
        <x:v>Kulit dan Kelamin</x:v>
      </x:c>
      <x:c r="B32" s="8" t="n">
        <x:f>'Costing Template'!G57</x:f>
        <x:v>15000</x:v>
      </x:c>
      <x:c r="C32" s="18" t="n">
        <x:v>200000</x:v>
      </x:c>
      <x:c r="D32" s="8" t="n">
        <x:f>B32*C32</x:f>
        <x:v>3000000000</x:v>
      </x:c>
      <x:c r="E32" s="8" t="n">
        <x:f>ROUND(D32-F32-G32,0)</x:f>
        <x:v>2389866667</x:v>
      </x:c>
      <x:c r="F32" s="8" t="n">
        <x:f>$B$3*'Costing Template'!D57/$B$5</x:f>
        <x:v>118415841.58415842</x:v>
      </x:c>
      <x:c r="G32" s="8" t="n">
        <x:f>$B$8*'Costing Template'!D57/$B$6</x:f>
        <x:v>491717491.7491749</x:v>
      </x:c>
      <x:c r="H32" s="8" t="n">
        <x:f>'Costing Template'!S57+F32+G32</x:f>
        <x:v>3000000000.3333335</x:v>
      </x:c>
      <x:c r="I32" s="16" t="n">
        <x:f>H32/B32</x:f>
        <x:v>200000.00002222223</x:v>
      </x:c>
      <x:c r="J32" s="16" t="n">
        <x:f>'Costing Template'!S57/B32</x:f>
        <x:v>159324.44446666667</x:v>
      </x:c>
      <x:c r="K32" s="16" t="n">
        <x:f>I32-C32</x:f>
        <x:v>0.00002222222974523902</x:v>
      </x:c>
    </x:row>
    <x:row r="33" ht="34" customHeight="1">
      <x:c r="A33" s="3" t="str">
        <x:v>Infeksi / Penyakit Tropis</x:v>
      </x:c>
      <x:c r="B33" s="8" t="n">
        <x:f>'Costing Template'!G58</x:f>
        <x:v>16000</x:v>
      </x:c>
      <x:c r="C33" s="18" t="n">
        <x:v>220000</x:v>
      </x:c>
      <x:c r="D33" s="8" t="n">
        <x:f>B33*C33</x:f>
        <x:v>3520000000</x:v>
      </x:c>
      <x:c r="E33" s="8" t="n">
        <x:f>ROUND(D33-F33-G33,0)</x:f>
        <x:v>2862933333</x:v>
      </x:c>
      <x:c r="F33" s="8" t="n">
        <x:f>$B$3*'Costing Template'!D58/$B$5</x:f>
        <x:v>127524752.47524753</x:v>
      </x:c>
      <x:c r="G33" s="8" t="n">
        <x:f>$B$8*'Costing Template'!D58/$B$6</x:f>
        <x:v>529541914.1914192</x:v>
      </x:c>
      <x:c r="H33" s="8" t="n">
        <x:f>'Costing Template'!S58+F33+G33</x:f>
        <x:v>3519999999.6666665</x:v>
      </x:c>
      <x:c r="I33" s="16" t="n">
        <x:f>H33/B33</x:f>
        <x:v>219999.99997916666</x:v>
      </x:c>
      <x:c r="J33" s="16" t="n">
        <x:f>'Costing Template'!S58/B33</x:f>
        <x:v>178933.3333125</x:v>
      </x:c>
      <x:c r="K33" s="16" t="n">
        <x:f>I33-C33</x:f>
        <x:v>-0.000020833336748182774</x:v>
      </x:c>
    </x:row>
    <x:row r="34" ht="34" customHeight="1">
      <x:c r="A34" s="3" t="str">
        <x:v>Hematologi dan Onkologi Medik</x:v>
      </x:c>
      <x:c r="B34" s="8" t="n">
        <x:f>'Costing Template'!G59</x:f>
        <x:v>12000</x:v>
      </x:c>
      <x:c r="C34" s="18" t="n">
        <x:v>320000</x:v>
      </x:c>
      <x:c r="D34" s="8" t="n">
        <x:f>B34*C34</x:f>
        <x:v>3840000000</x:v>
      </x:c>
      <x:c r="E34" s="8" t="n">
        <x:f>ROUND(D34-F34-G34,0)</x:f>
        <x:v>3323733333</x:v>
      </x:c>
      <x:c r="F34" s="8" t="n">
        <x:f>$B$3*'Costing Template'!D59/$B$5</x:f>
        <x:v>100198019.8019802</x:v>
      </x:c>
      <x:c r="G34" s="8" t="n">
        <x:f>$B$8*'Costing Template'!D59/$B$6</x:f>
        <x:v>416068646.8646865</x:v>
      </x:c>
      <x:c r="H34" s="8" t="n">
        <x:f>'Costing Template'!S59+F34+G34</x:f>
        <x:v>3839999999.6666665</x:v>
      </x:c>
      <x:c r="I34" s="16" t="n">
        <x:f>H34/B34</x:f>
        <x:v>319999.9999722222</x:v>
      </x:c>
      <x:c r="J34" s="16" t="n">
        <x:f>'Costing Template'!S59/B34</x:f>
        <x:v>276977.77775</x:v>
      </x:c>
      <x:c r="K34" s="16" t="n">
        <x:f>I34-C34</x:f>
        <x:v>-0.000027777801733464003</x:v>
      </x:c>
    </x:row>
    <x:row r="35" ht="34" customHeight="1">
      <x:c r="A35" s="3" t="str">
        <x:v>Imunologi dan Reumatologi</x:v>
      </x:c>
      <x:c r="B35" s="8" t="n">
        <x:f>'Costing Template'!G60</x:f>
        <x:v>10000</x:v>
      </x:c>
      <x:c r="C35" s="18" t="n">
        <x:v>220000</x:v>
      </x:c>
      <x:c r="D35" s="8" t="n">
        <x:f>B35*C35</x:f>
        <x:v>2200000000</x:v>
      </x:c>
      <x:c r="E35" s="8" t="n">
        <x:f>ROUND(D35-F35-G35,0)</x:f>
        <x:v>1730666667</x:v>
      </x:c>
      <x:c r="F35" s="8" t="n">
        <x:f>$B$3*'Costing Template'!D60/$B$5</x:f>
        <x:v>91089108.91089109</x:v>
      </x:c>
      <x:c r="G35" s="8" t="n">
        <x:f>$B$8*'Costing Template'!D60/$B$6</x:f>
        <x:v>378244224.4224422</x:v>
      </x:c>
      <x:c r="H35" s="8" t="n">
        <x:f>'Costing Template'!S60+F35+G35</x:f>
        <x:v>2200000000.333333</x:v>
      </x:c>
      <x:c r="I35" s="16" t="n">
        <x:f>H35/B35</x:f>
        <x:v>220000.00003333332</x:v>
      </x:c>
      <x:c r="J35" s="16" t="n">
        <x:f>'Costing Template'!S60/B35</x:f>
        <x:v>173066.6667</x:v>
      </x:c>
      <x:c r="K35" s="16" t="n">
        <x:f>I35-C35</x:f>
        <x:v>0.00003333331551402807</x:v>
      </x:c>
    </x:row>
    <x:row r="36" ht="34" customHeight="1">
      <x:c r="A36" s="3" t="str">
        <x:v>Keracunan (Toksikologi)</x:v>
      </x:c>
      <x:c r="B36" s="8" t="n">
        <x:f>'Costing Template'!G61</x:f>
        <x:v>8000</x:v>
      </x:c>
      <x:c r="C36" s="18" t="n">
        <x:v>260000</x:v>
      </x:c>
      <x:c r="D36" s="8" t="n">
        <x:f>B36*C36</x:f>
        <x:v>2080000000</x:v>
      </x:c>
      <x:c r="E36" s="8" t="n">
        <x:f>ROUND(D36-F36-G36,0)</x:f>
        <x:v>1657600000</x:v>
      </x:c>
      <x:c r="F36" s="8" t="n">
        <x:f>$B$3*'Costing Template'!D61/$B$5</x:f>
        <x:v>81980198.01980197</x:v>
      </x:c>
      <x:c r="G36" s="8" t="n">
        <x:f>$B$8*'Costing Template'!D61/$B$6</x:f>
        <x:v>340419801.980198</x:v>
      </x:c>
      <x:c r="H36" s="8" t="n">
        <x:f>'Costing Template'!S61+F36+G36</x:f>
        <x:v>2080000000</x:v>
      </x:c>
      <x:c r="I36" s="16" t="n">
        <x:f>H36/B36</x:f>
        <x:v>260000</x:v>
      </x:c>
      <x:c r="J36" s="16" t="n">
        <x:f>'Costing Template'!S61/B36</x:f>
        <x:v>207200</x:v>
      </x:c>
      <x:c r="K36" s="16" t="n">
        <x:f>I36-C36</x:f>
        <x:v>0</x:v>
      </x:c>
    </x:row>
    <x:row r="37" ht="34" customHeight="1">
      <x:c r="A37" s="3" t="str">
        <x:v>Endokrin, Metabolik, dan Diabetes</x:v>
      </x:c>
      <x:c r="B37" s="8" t="n">
        <x:f>'Costing Template'!G62</x:f>
        <x:v>24000</x:v>
      </x:c>
      <x:c r="C37" s="18" t="n">
        <x:v>220000</x:v>
      </x:c>
      <x:c r="D37" s="8" t="n">
        <x:f>B37*C37</x:f>
        <x:v>5280000000</x:v>
      </x:c>
      <x:c r="E37" s="8" t="n">
        <x:f>ROUND(D37-F37-G37,0)</x:f>
        <x:v>4435200000</x:v>
      </x:c>
      <x:c r="F37" s="8" t="n">
        <x:f>$B$3*'Costing Template'!D62/$B$5</x:f>
        <x:v>163960396.03960395</x:v>
      </x:c>
      <x:c r="G37" s="8" t="n">
        <x:f>$B$8*'Costing Template'!D62/$B$6</x:f>
        <x:v>680839603.960396</x:v>
      </x:c>
      <x:c r="H37" s="8" t="n">
        <x:f>'Costing Template'!S62+F37+G37</x:f>
        <x:v>5280000000</x:v>
      </x:c>
      <x:c r="I37" s="16" t="n">
        <x:f>H37/B37</x:f>
        <x:v>220000</x:v>
      </x:c>
      <x:c r="J37" s="16" t="n">
        <x:f>'Costing Template'!S62/B37</x:f>
        <x:v>184800</x:v>
      </x:c>
      <x:c r="K37" s="16" t="n">
        <x:f>I37-C37</x:f>
        <x:v>0</x:v>
      </x:c>
    </x:row>
    <x:row r="38" ht="34" customHeight="1">
      <x:c r="A38" s="3" t="str">
        <x:v>Luka Bakar (Burn Unit)</x:v>
      </x:c>
      <x:c r="B38" s="8" t="n">
        <x:f>'Costing Template'!G63</x:f>
        <x:v>8000</x:v>
      </x:c>
      <x:c r="C38" s="18" t="n">
        <x:v>500000</x:v>
      </x:c>
      <x:c r="D38" s="8" t="n">
        <x:f>B38*C38</x:f>
        <x:v>4000000000</x:v>
      </x:c>
      <x:c r="E38" s="8" t="n">
        <x:f>ROUND(D38-F38-G38,0)</x:f>
        <x:v>3577600000</x:v>
      </x:c>
      <x:c r="F38" s="8" t="n">
        <x:f>$B$3*'Costing Template'!D63/$B$5</x:f>
        <x:v>81980198.01980197</x:v>
      </x:c>
      <x:c r="G38" s="8" t="n">
        <x:f>$B$8*'Costing Template'!D63/$B$6</x:f>
        <x:v>340419801.980198</x:v>
      </x:c>
      <x:c r="H38" s="8" t="n">
        <x:f>'Costing Template'!S63+F38+G38</x:f>
        <x:v>4000000000</x:v>
      </x:c>
      <x:c r="I38" s="16" t="n">
        <x:f>H38/B38</x:f>
        <x:v>500000</x:v>
      </x:c>
      <x:c r="J38" s="16" t="n">
        <x:f>'Costing Template'!S63/B38</x:f>
        <x:v>447200</x:v>
      </x:c>
      <x:c r="K38" s="16" t="n">
        <x:f>I38-C38</x:f>
        <x:v>0</x:v>
      </x:c>
    </x:row>
    <x:row r="39" ht="34" customHeight="1">
      <x:c r="A39" s="3" t="str">
        <x:v>Jiwa / Psikiatri</x:v>
      </x:c>
      <x:c r="B39" s="8" t="n">
        <x:f>'Costing Template'!G64</x:f>
        <x:v>16000</x:v>
      </x:c>
      <x:c r="C39" s="18" t="n">
        <x:v>200000</x:v>
      </x:c>
      <x:c r="D39" s="8" t="n">
        <x:f>B39*C39</x:f>
        <x:v>3200000000</x:v>
      </x:c>
      <x:c r="E39" s="8" t="n">
        <x:f>ROUND(D39-F39-G39,0)</x:f>
        <x:v>2542933333</x:v>
      </x:c>
      <x:c r="F39" s="8" t="n">
        <x:f>$B$3*'Costing Template'!D64/$B$5</x:f>
        <x:v>127524752.47524753</x:v>
      </x:c>
      <x:c r="G39" s="8" t="n">
        <x:f>$B$8*'Costing Template'!D64/$B$6</x:f>
        <x:v>529541914.1914192</x:v>
      </x:c>
      <x:c r="H39" s="8" t="n">
        <x:f>'Costing Template'!S64+F39+G39</x:f>
        <x:v>3199999999.6666665</x:v>
      </x:c>
      <x:c r="I39" s="16" t="n">
        <x:f>H39/B39</x:f>
        <x:v>199999.99997916666</x:v>
      </x:c>
      <x:c r="J39" s="16" t="n">
        <x:f>'Costing Template'!S64/B39</x:f>
        <x:v>158933.3333125</x:v>
      </x:c>
      <x:c r="K39" s="16" t="n">
        <x:f>I39-C39</x:f>
        <x:v>-0.000020833336748182774</x:v>
      </x:c>
    </x:row>
    <x:row r="40" ht="34" customHeight="1">
      <x:c r="A40" s="3" t="str">
        <x:v>Gigi dan Mulut</x:v>
      </x:c>
      <x:c r="B40" s="8" t="n">
        <x:f>'Costing Template'!G65</x:f>
        <x:v>18000</x:v>
      </x:c>
      <x:c r="C40" s="18" t="n">
        <x:v>180000</x:v>
      </x:c>
      <x:c r="D40" s="8" t="n">
        <x:f>B40*C40</x:f>
        <x:v>3240000000</x:v>
      </x:c>
      <x:c r="E40" s="8" t="n">
        <x:f>ROUND(D40-F40-G40,0)</x:f>
        <x:v>2536000000</x:v>
      </x:c>
      <x:c r="F40" s="8" t="n">
        <x:f>$B$3*'Costing Template'!D65/$B$5</x:f>
        <x:v>136633663.36633664</x:v>
      </x:c>
      <x:c r="G40" s="8" t="n">
        <x:f>$B$8*'Costing Template'!D65/$B$6</x:f>
        <x:v>567366336.6336633</x:v>
      </x:c>
      <x:c r="H40" s="8" t="n">
        <x:f>'Costing Template'!S65+F40+G40</x:f>
        <x:v>3240000000</x:v>
      </x:c>
      <x:c r="I40" s="16" t="n">
        <x:f>H40/B40</x:f>
        <x:v>180000</x:v>
      </x:c>
      <x:c r="J40" s="16" t="n">
        <x:f>'Costing Template'!S65/B40</x:f>
        <x:v>140888.88888888888</x:v>
      </x:c>
      <x:c r="K40" s="16" t="n">
        <x:f>I40-C40</x:f>
        <x:v>0</x:v>
      </x:c>
    </x:row>
    <x:row r="41" ht="34" customHeight="1">
      <x:c r="A41" s="3" t="str">
        <x:v>Forensik dan Medikolegal</x:v>
      </x:c>
      <x:c r="B41" s="8" t="n">
        <x:f>'Costing Template'!G66</x:f>
        <x:v>4000</x:v>
      </x:c>
      <x:c r="C41" s="18" t="n">
        <x:v>400000</x:v>
      </x:c>
      <x:c r="D41" s="8" t="n">
        <x:f>B41*C41</x:f>
        <x:v>1600000000</x:v>
      </x:c>
      <x:c r="E41" s="8" t="n">
        <x:f>ROUND(D41-F41-G41,0)</x:f>
        <x:v>1224533333</x:v>
      </x:c>
      <x:c r="F41" s="8" t="n">
        <x:f>$B$3*'Costing Template'!D66/$B$5</x:f>
        <x:v>72871287.12871288</x:v>
      </x:c>
      <x:c r="G41" s="8" t="n">
        <x:f>$B$8*'Costing Template'!D66/$B$6</x:f>
        <x:v>302595379.5379538</x:v>
      </x:c>
      <x:c r="H41" s="8" t="n">
        <x:f>'Costing Template'!S66+F41+G41</x:f>
        <x:v>1599999999.6666667</x:v>
      </x:c>
      <x:c r="I41" s="16" t="n">
        <x:f>H41/B41</x:f>
        <x:v>399999.9999166667</x:v>
      </x:c>
      <x:c r="J41" s="16" t="n">
        <x:f>'Costing Template'!S66/B41</x:f>
        <x:v>306133.33325</x:v>
      </x:c>
      <x:c r="K41" s="16" t="n">
        <x:f>I41-C41</x:f>
        <x:v>-0.00008333328878507018</x:v>
      </x:c>
    </x:row>
    <x:row r="42" ht="34" customHeight="1">
      <x:c r="A42" s="3" t="str">
        <x:v>Poliklinik Rehabilitasi Medik</x:v>
      </x:c>
      <x:c r="B42" s="8" t="n">
        <x:f>'Costing Template'!G67</x:f>
        <x:v>22000</x:v>
      </x:c>
      <x:c r="C42" s="18" t="n">
        <x:v>180000</x:v>
      </x:c>
      <x:c r="D42" s="8" t="n">
        <x:f>B42*C42</x:f>
        <x:v>3960000000</x:v>
      </x:c>
      <x:c r="E42" s="8" t="n">
        <x:f>ROUND(D42-F42-G42,0)</x:f>
        <x:v>3162133333</x:v>
      </x:c>
      <x:c r="F42" s="8" t="n">
        <x:f>$B$3*'Costing Template'!D67/$B$5</x:f>
        <x:v>154851485.14851484</x:v>
      </x:c>
      <x:c r="G42" s="8" t="n">
        <x:f>$B$8*'Costing Template'!D67/$B$6</x:f>
        <x:v>643015181.5181519</x:v>
      </x:c>
      <x:c r="H42" s="8" t="n">
        <x:f>'Costing Template'!S67+F42+G42</x:f>
        <x:v>3959999999.6666665</x:v>
      </x:c>
      <x:c r="I42" s="16" t="n">
        <x:f>H42/B42</x:f>
        <x:v>179999.9999848485</x:v>
      </x:c>
      <x:c r="J42" s="16" t="n">
        <x:f>'Costing Template'!S67/B42</x:f>
        <x:v>143733.33331818183</x:v>
      </x:c>
      <x:c r="K42" s="16" t="n">
        <x:f>I42-C42</x:f>
        <x:v>-0.00001515151234343648</x:v>
      </x:c>
    </x:row>
    <x:row r="43" ht="34" customHeight="1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</x:row>
    <x:row r="44" ht="34" customHeight="1">
      <x:c r="A44" s="3" t="str">
        <x:v>Total biaya penuh final</x:v>
      </x:c>
      <x:c r="B44" s="16" t="n">
        <x:f>SUM(H13:H42)</x:f>
        <x:v>157768349998.99997</x:v>
      </x:c>
      <x:c r="C44" s="3"/>
      <x:c r="D44" s="3"/>
      <x:c r="E44" s="3"/>
      <x:c r="F44" s="3"/>
      <x:c r="G44" s="3"/>
      <x:c r="H44" s="3"/>
      <x:c r="I44" s="3"/>
      <x:c r="J44" s="3"/>
      <x:c r="K44" s="3"/>
    </x:row>
    <x:row r="45" ht="34" customHeight="1">
      <x:c r="A45" s="3" t="str">
        <x:v>Total biaya langsung seluruh RS</x:v>
      </x:c>
      <x:c r="B45" s="16" t="n">
        <x:f>'Costing Template'!S69</x:f>
        <x:v>157768349999</x:v>
      </x:c>
      <x:c r="C45" s="3"/>
      <x:c r="D45" s="3"/>
      <x:c r="E45" s="3"/>
      <x:c r="F45" s="3"/>
      <x:c r="G45" s="3"/>
      <x:c r="H45" s="3"/>
      <x:c r="I45" s="3"/>
      <x:c r="J45" s="3"/>
      <x:c r="K45" s="3"/>
    </x:row>
    <x:row r="46" ht="34" customHeight="1">
      <x:c r="A46" s="3" t="str">
        <x:v>Selisih alokasi (Rp)</x:v>
      </x:c>
      <x:c r="B46" s="16" t="n">
        <x:f>B44-B45</x:f>
        <x:v>-0.000030517578125</x:v>
      </x:c>
      <x:c r="C46" s="3"/>
      <x:c r="D46" s="3"/>
      <x:c r="E46" s="3"/>
      <x:c r="F46" s="3"/>
      <x:c r="G46" s="3"/>
      <x:c r="H46" s="3"/>
      <x:c r="I46" s="3"/>
      <x:c r="J46" s="3"/>
      <x:c r="K46" s="3"/>
    </x:row>
    <x:row r="47" ht="34" customHeight="1">
      <x:c r="A47" s="3" t="str">
        <x:v>Total staf dalam costing</x:v>
      </x:c>
      <x:c r="B47" s="16" t="n">
        <x:f>'Costing Template'!D69</x:f>
        <x:v>900</x:v>
      </x:c>
      <x:c r="C47" s="3"/>
      <x:c r="D47" s="3"/>
      <x:c r="E47" s="3"/>
      <x:c r="F47" s="3"/>
      <x:c r="G47" s="3"/>
      <x:c r="H47" s="3"/>
      <x:c r="I47" s="3"/>
      <x:c r="J47" s="3"/>
      <x:c r="K47" s="3"/>
    </x:row>
    <x:row r="48" ht="62" customHeight="1">
      <x:c r="A48" s="3" t="str">
        <x:v>Target angka</x:v>
      </x:c>
      <x:c r="B48" s="3" t="str">
        <x:v>KRIS C 385.000; KRIS B 455.000; KRIS A 605.000; VIP 850.000 rupiah/hari.</x:v>
      </x:c>
      <x:c r="C48" s="3"/>
      <x:c r="D48" s="3"/>
      <x:c r="E48" s="3"/>
      <x:c r="F48" s="3"/>
      <x:c r="G48" s="3"/>
      <x:c r="H48" s="3"/>
      <x:c r="I48" s="3"/>
      <x:c r="J48" s="3"/>
      <x:c r="K48" s="3"/>
    </x:row>
    <x:row r="49" ht="62" customHeight="1">
      <x:c r="A49" s="3" t="str">
        <x:v>Cakupan biaya</x:v>
      </x:c>
      <x:c r="B49" s="3" t="str">
        <x:v>Total biaya penuh unit, setelah penunjang. Tidak menambahkan biaya farmasi/lab kembali.</x:v>
      </x:c>
      <x:c r="C49" s="3"/>
      <x:c r="D49" s="3"/>
      <x:c r="E49" s="3"/>
      <x:c r="F49" s="3"/>
      <x:c r="G49" s="3"/>
      <x:c r="H49" s="3"/>
      <x:c r="I49" s="3"/>
      <x:c r="J49" s="3"/>
      <x:c r="K49" s="3"/>
    </x:row>
    <x:row r="50" ht="62" customHeight="1">
      <x:c r="A50" s="3" t="str">
        <x:v>Kalibrasi dummy</x:v>
      </x:c>
      <x:c r="B50" s="3" t="str">
        <x:v>Biaya langsung = target × volume − overhead − intermediate. Ini simulasi yang dirancang, bukan estimasi hasil audit.</x:v>
      </x:c>
      <x:c r="C50" s="3"/>
      <x:c r="D50" s="3"/>
      <x:c r="E50" s="3"/>
      <x:c r="F50" s="3"/>
      <x:c r="G50" s="3"/>
      <x:c r="H50" s="3"/>
      <x:c r="I50" s="3"/>
      <x:c r="J50" s="3"/>
      <x:c r="K50" s="3"/>
    </x:row>
    <x:row r="51" ht="62" customHeight="1">
      <x:c r="A51" s="3" t="str">
        <x:v>Aplikasi</x:v>
      </x:c>
      <x:c r="B51" s="3" t="str">
        <x:v>Tampilan unit aplikasi membaca biaya langsung (kolom J di sini). Perhitungan 18 komponen/pasien memerlukan data klaim dan metode yang sesuai.</x:v>
      </x:c>
      <x:c r="C51" s="3"/>
      <x:c r="D51" s="3"/>
      <x:c r="E51" s="3"/>
      <x:c r="F51" s="3"/>
      <x:c r="G51" s="3"/>
      <x:c r="H51" s="3"/>
      <x:c r="I51" s="3"/>
      <x:c r="J51" s="3"/>
      <x:c r="K51" s="3"/>
    </x:row>
  </x:sheetData>
  <x:mergeCells>
    <x:mergeCell ref="A1:K1"/>
    <x:mergeCell ref="B9:K9"/>
    <x:mergeCell ref="B10:K10"/>
    <x:mergeCell ref="B48:K48"/>
    <x:mergeCell ref="B49:K49"/>
    <x:mergeCell ref="B50:K50"/>
    <x:mergeCell ref="B51:K51"/>
  </x:mergeCells>
  <x:pageMargins left="0.7" right="0.7" top="0.75" bottom="0.75" header="0.3" footer="0.3"/>
</x:worksheet>
</file>