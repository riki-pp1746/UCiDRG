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sting" sheetId="1" r:id="rId5"/>
    <sheet state="visible" name="Costing Dummy" sheetId="2" r:id="rId6"/>
  </sheets>
  <definedNames/>
  <calcPr/>
</workbook>
</file>

<file path=xl/sharedStrings.xml><?xml version="1.0" encoding="utf-8"?>
<sst xmlns="http://schemas.openxmlformats.org/spreadsheetml/2006/main" count="407" uniqueCount="147">
  <si>
    <t>Nama Rumah Sakit</t>
  </si>
  <si>
    <t>:</t>
  </si>
  <si>
    <t>Kepemilikan Rumah Sakit</t>
  </si>
  <si>
    <t>Tipe Rumah Sakit</t>
  </si>
  <si>
    <t>(Dummy Costing Tarif)</t>
  </si>
  <si>
    <t>(Format/Template Latihan Costing Tarif)</t>
  </si>
  <si>
    <t>Pusat Biaya</t>
  </si>
  <si>
    <t>Dasar Alokasi</t>
  </si>
  <si>
    <t>Jumlah Staf</t>
  </si>
  <si>
    <t>Jumlah hari rawat pasien</t>
  </si>
  <si>
    <t>Jumlah pasien pulang</t>
  </si>
  <si>
    <t>Jumlah kunjungan pasien</t>
  </si>
  <si>
    <t>ALOS (Hari)</t>
  </si>
  <si>
    <t>Jumlah Tempat Tidur</t>
  </si>
  <si>
    <t>Biaya Pegawai (Gaji dan Remunerasi)</t>
  </si>
  <si>
    <t>Biaya 
Jasa Medis (Dokter)</t>
  </si>
  <si>
    <t>Biaya Jasa Medis Lainnya (Tenaga Medis)</t>
  </si>
  <si>
    <t>Biaya Operasional (Persediaan, Pemeliharaan, dll)</t>
  </si>
  <si>
    <t>Harga Peralatan yg dibeli dlm 5 tahun terakhir</t>
  </si>
  <si>
    <t>Jumlah biaya investasi gedung 40 tahun terakhir</t>
  </si>
  <si>
    <t>Depresiasi Peralatan dan Mesin</t>
  </si>
  <si>
    <t>Depresiasi Gedung dan Bangunan</t>
  </si>
  <si>
    <t>Luas lantai bangunan (m2)</t>
  </si>
  <si>
    <t>Total Cost</t>
  </si>
  <si>
    <t>Manajemen &amp; Administrasi</t>
  </si>
  <si>
    <t>Komite &amp; Pengawasan</t>
  </si>
  <si>
    <t>Teknologi Informasi</t>
  </si>
  <si>
    <t>Pendidikan &amp; Penelitian</t>
  </si>
  <si>
    <t>Keamanan &amp; Keselamatan</t>
  </si>
  <si>
    <t>Cleaning Services</t>
  </si>
  <si>
    <t>Customer Service / Front Office</t>
  </si>
  <si>
    <t>Bahan Habis Pakai - Non Medis</t>
  </si>
  <si>
    <t>Fasilitas (Listrik, Air, Telepon, dan Internet)</t>
  </si>
  <si>
    <t>Pajak &amp; Asuransi</t>
  </si>
  <si>
    <t>Sewa dan Kerja Sama Operasional</t>
  </si>
  <si>
    <t>Parkir</t>
  </si>
  <si>
    <t>Total Cost After Overhead</t>
  </si>
  <si>
    <t>Total Cost After Intermediate</t>
  </si>
  <si>
    <t>Unit Cost</t>
  </si>
  <si>
    <t>No</t>
  </si>
  <si>
    <t>Tingkat Layanan</t>
  </si>
  <si>
    <t>SEP Number</t>
  </si>
  <si>
    <t>mdc</t>
  </si>
  <si>
    <t>drg</t>
  </si>
  <si>
    <t>dc</t>
  </si>
  <si>
    <t>INA CBG (Inpatient)</t>
  </si>
  <si>
    <t>Department</t>
  </si>
  <si>
    <t>procedure_amt</t>
  </si>
  <si>
    <t>surgical_amt</t>
  </si>
  <si>
    <t>consul_amt</t>
  </si>
  <si>
    <t>expert_amt</t>
  </si>
  <si>
    <t>nursing_amt</t>
  </si>
  <si>
    <t>Tahun</t>
  </si>
  <si>
    <t>ancillary_amt</t>
  </si>
  <si>
    <t>blood_amt</t>
  </si>
  <si>
    <t>laboratory_amt</t>
  </si>
  <si>
    <t>radiology_amt</t>
  </si>
  <si>
    <t>rehab_amt</t>
  </si>
  <si>
    <t>room_amt</t>
  </si>
  <si>
    <t>intensive_amt</t>
  </si>
  <si>
    <t>drug_amt</t>
  </si>
  <si>
    <t>device_amt</t>
  </si>
  <si>
    <t>(2020-2024)</t>
  </si>
  <si>
    <t>consumable_amt</t>
  </si>
  <si>
    <t>(1985-2024)</t>
  </si>
  <si>
    <t>device_rent_amt</t>
  </si>
  <si>
    <t>drug_chronic_amt</t>
  </si>
  <si>
    <t>drug_chemo_amt</t>
  </si>
  <si>
    <t>Total Billing</t>
  </si>
  <si>
    <t xml:space="preserve">A. Pusat Biaya Penunjang Umum (Overhead) </t>
  </si>
  <si>
    <t>Rajal/Ranap</t>
  </si>
  <si>
    <t>0233R0220122VXXXXXX</t>
  </si>
  <si>
    <t>J-3-13-0</t>
  </si>
  <si>
    <t>-</t>
  </si>
  <si>
    <t>Penggunaan</t>
  </si>
  <si>
    <t>Luas Lantai</t>
  </si>
  <si>
    <t>Tagihan Pajak</t>
  </si>
  <si>
    <t>Aset/Luas Lantai</t>
  </si>
  <si>
    <t xml:space="preserve">Lain-lain : </t>
  </si>
  <si>
    <t>Farmasi</t>
  </si>
  <si>
    <t>Radiologi</t>
  </si>
  <si>
    <t>Laboratorium</t>
  </si>
  <si>
    <t>Rehabilitasi Medik</t>
  </si>
  <si>
    <t>Rehabilitasi Psikososial</t>
  </si>
  <si>
    <t>Instalasi Bedah Sentral (IBS)</t>
  </si>
  <si>
    <t>Instalasi Gizi</t>
  </si>
  <si>
    <t>Laundry Rumah Sakit</t>
  </si>
  <si>
    <t>Unit Sterilisasi Alat (CSSD)</t>
  </si>
  <si>
    <t>Gas Medis</t>
  </si>
  <si>
    <t>Bank Darah</t>
  </si>
  <si>
    <t>Bank Jaringan</t>
  </si>
  <si>
    <t> B.  Pusat Biaya Penunjang Medik (intermediate)</t>
  </si>
  <si>
    <t>Resep/DDD</t>
  </si>
  <si>
    <t>Jumlah Pemeriksaan</t>
  </si>
  <si>
    <t>Jumlah Test</t>
  </si>
  <si>
    <t>Jumlah Terapi</t>
  </si>
  <si>
    <t>Jumlah Pasien</t>
  </si>
  <si>
    <t>Jam Operasi</t>
  </si>
  <si>
    <t>Jumlah Staf/Hari Rawat</t>
  </si>
  <si>
    <t>Jumlah Staf/Tindakan</t>
  </si>
  <si>
    <t>Kantong Darah</t>
  </si>
  <si>
    <t>Jaringan</t>
  </si>
  <si>
    <t> C. Pusat Biaya Pelayanan Medik (Final)</t>
  </si>
  <si>
    <t>RAWAT INAP</t>
  </si>
  <si>
    <t>Kamar Kelas III</t>
  </si>
  <si>
    <t>Hari Rawat</t>
  </si>
  <si>
    <t>Kamar Kelas II</t>
  </si>
  <si>
    <t>Kamar Kelas I</t>
  </si>
  <si>
    <t>Kamar VIP/VVIP/Suite</t>
  </si>
  <si>
    <t>Kamar ICU/ICCU/NICU/PICU/HCU</t>
  </si>
  <si>
    <t>Kamar Perawatan Khusus Lainnya</t>
  </si>
  <si>
    <t>RAWAT JALAN</t>
  </si>
  <si>
    <t>Instalasi Gawat Darurat (IGD)</t>
  </si>
  <si>
    <t>Jumlah Kunjungan</t>
  </si>
  <si>
    <t>Poliklinik Penyakit Dalam</t>
  </si>
  <si>
    <t>Poliklinik Jantung dan Pembuluh Darah</t>
  </si>
  <si>
    <t>Poliklinik Obstetri dan Ginekologi</t>
  </si>
  <si>
    <t>Poliklinik Bedah</t>
  </si>
  <si>
    <t>Poliklinik Paru</t>
  </si>
  <si>
    <t>Poliklinik Anak</t>
  </si>
  <si>
    <t>Poliklinik Mata</t>
  </si>
  <si>
    <t>Poliklinik THT</t>
  </si>
  <si>
    <t>Poliklinik Psikiatri</t>
  </si>
  <si>
    <t>Poliklinik Gigi &amp; Mulut</t>
  </si>
  <si>
    <t>Poliklinik Kulit &amp; Kelamin</t>
  </si>
  <si>
    <t>Poliklinik Saraf</t>
  </si>
  <si>
    <t>Poliklinik Orthopedi</t>
  </si>
  <si>
    <t>Poliklinik Urologi</t>
  </si>
  <si>
    <t>1)</t>
  </si>
  <si>
    <t>Hemodialisa</t>
  </si>
  <si>
    <t>2)</t>
  </si>
  <si>
    <t>Medical Check Up (MCU)</t>
  </si>
  <si>
    <t>3)</t>
  </si>
  <si>
    <t>Telemedicine</t>
  </si>
  <si>
    <t>4)</t>
  </si>
  <si>
    <t>Pemulasaran Jenazah</t>
  </si>
  <si>
    <t>5)</t>
  </si>
  <si>
    <t>Ambulans</t>
  </si>
  <si>
    <t>6)</t>
  </si>
  <si>
    <t>Day care</t>
  </si>
  <si>
    <t>7)</t>
  </si>
  <si>
    <t>Home care</t>
  </si>
  <si>
    <t xml:space="preserve">JUMLAH KESELURUHAN </t>
  </si>
  <si>
    <t>Total Depresiasi</t>
  </si>
  <si>
    <t xml:space="preserve">Total </t>
  </si>
  <si>
    <t>Total Non Layanan</t>
  </si>
  <si>
    <t>Total Layanan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</si>
</sst>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_-* #,##0_-;\-* #,##0_-;_-* &quot;-&quot;??_-;_-@"/>
    <numFmt numFmtId="165" formatCode="0_);\(0\)"/>
    <numFmt numFmtId="166" formatCode="0.0%"/>
    <numFmt numFmtId="167" formatCode="_-* #,##0.00_-;\-* #,##0.00_-;_-* &quot;-&quot;??.00_-;_-@"/>
    <numFmt numFmtId="168" formatCode="_(* #,##0_);_(* \(#,##0\);_(* &quot;-&quot;_);_(@_)"/>
  </numFmts>
  <fonts count="12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b/>
      <sz val="10.0"/>
      <color theme="0"/>
      <name val="Arial"/>
    </font>
    <font/>
    <font>
      <b/>
      <sz val="10.0"/>
      <color rgb="FFFFFFFF"/>
      <name val="Arial"/>
    </font>
    <font>
      <b/>
      <color rgb="FFFFFFFF"/>
      <name val="Arial"/>
    </font>
    <font>
      <b/>
      <color theme="1"/>
      <name val="Arial"/>
    </font>
    <font>
      <color theme="1"/>
      <name val="Arial"/>
    </font>
    <font>
      <color rgb="FFFFFFFF"/>
      <name val="Arial"/>
    </font>
    <font>
      <b/>
      <sz val="10.0"/>
      <color rgb="FF000000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theme="4"/>
        <bgColor theme="4"/>
      </patternFill>
    </fill>
    <fill>
      <patternFill patternType="solid">
        <fgColor rgb="FF4F81BD"/>
        <bgColor rgb="FF4F81BD"/>
      </patternFill>
    </fill>
    <fill>
      <patternFill patternType="solid">
        <fgColor rgb="FF38761D"/>
        <bgColor rgb="FF38761D"/>
      </patternFill>
    </fill>
    <fill>
      <patternFill patternType="solid">
        <fgColor rgb="FF8E7CC3"/>
        <bgColor rgb="FF8E7CC3"/>
      </patternFill>
    </fill>
    <fill>
      <patternFill patternType="solid">
        <fgColor rgb="FFB7B7B7"/>
        <bgColor rgb="FFB7B7B7"/>
      </patternFill>
    </fill>
    <fill>
      <patternFill patternType="solid">
        <fgColor rgb="FF99CCFF"/>
        <bgColor rgb="FF99CCFF"/>
      </patternFill>
    </fill>
    <fill>
      <patternFill patternType="solid">
        <fgColor rgb="FFD9EAD3"/>
        <bgColor rgb="FFD9EAD3"/>
      </patternFill>
    </fill>
    <fill>
      <patternFill patternType="solid">
        <fgColor rgb="FF808080"/>
        <bgColor rgb="FF808080"/>
      </patternFill>
    </fill>
    <fill>
      <patternFill patternType="solid">
        <fgColor rgb="FF7F7F7F"/>
        <bgColor rgb="FF7F7F7F"/>
      </patternFill>
    </fill>
    <fill>
      <patternFill patternType="solid">
        <fgColor rgb="FFEFEFEF"/>
        <bgColor rgb="FFEFEFEF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/>
      <right style="medium">
        <color rgb="FF000000"/>
      </right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/>
    </border>
    <border>
      <left/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top/>
      <bottom style="medium">
        <color rgb="FF000000"/>
      </bottom>
    </border>
  </borders>
  <cellStyleXfs count="1">
    <xf borderId="0" fillId="0" fontId="0" numFmtId="0" applyAlignment="1" applyFont="1"/>
  </cellStyleXfs>
  <cellXfs count="1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vertical="center"/>
    </xf>
    <xf borderId="0" fillId="0" fontId="1" numFmtId="164" xfId="0" applyAlignment="1" applyFont="1" applyNumberFormat="1">
      <alignment horizontal="left" vertical="center"/>
    </xf>
    <xf borderId="0" fillId="0" fontId="1" numFmtId="164" xfId="0" applyAlignment="1" applyFont="1" applyNumberFormat="1">
      <alignment vertical="center"/>
    </xf>
    <xf borderId="0" fillId="0" fontId="3" numFmtId="164" xfId="0" applyAlignment="1" applyFont="1" applyNumberFormat="1">
      <alignment horizontal="right" vertical="center"/>
    </xf>
    <xf borderId="0" fillId="0" fontId="3" numFmtId="164" xfId="0" applyAlignment="1" applyFont="1" applyNumberFormat="1">
      <alignment vertical="center"/>
    </xf>
    <xf borderId="0" fillId="0" fontId="1" numFmtId="164" xfId="0" applyAlignment="1" applyFont="1" applyNumberFormat="1">
      <alignment horizontal="right" vertical="center"/>
    </xf>
    <xf borderId="0" fillId="0" fontId="3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readingOrder="0" vertical="center"/>
    </xf>
    <xf borderId="0" fillId="2" fontId="1" numFmtId="164" xfId="0" applyAlignment="1" applyFill="1" applyFont="1" applyNumberFormat="1">
      <alignment horizontal="left" vertical="center"/>
    </xf>
    <xf borderId="0" fillId="2" fontId="3" numFmtId="164" xfId="0" applyAlignment="1" applyFill="1" applyFont="1" applyNumberFormat="1">
      <alignment horizontal="right" vertical="center"/>
    </xf>
    <xf borderId="0" fillId="2" fontId="3" numFmtId="164" xfId="0" applyAlignment="1" applyFill="1" applyFont="1" applyNumberFormat="1">
      <alignment vertical="center"/>
    </xf>
    <xf borderId="0" fillId="2" fontId="1" numFmtId="164" xfId="0" applyAlignment="1" applyFill="1" applyFont="1" applyNumberFormat="1">
      <alignment vertical="center"/>
    </xf>
    <xf borderId="0" fillId="2" fontId="1" numFmtId="164" xfId="0" applyAlignment="1" applyFill="1" applyFont="1" applyNumberFormat="1">
      <alignment horizontal="right" vertical="center"/>
    </xf>
    <xf borderId="0" fillId="3" fontId="3" numFmtId="164" xfId="0" applyAlignment="1" applyFill="1" applyFont="1" applyNumberFormat="1">
      <alignment vertical="center"/>
    </xf>
    <xf borderId="0" fillId="3" fontId="3" numFmtId="0" xfId="0" applyAlignment="1" applyFill="1" applyFont="1">
      <alignment horizontal="center" vertical="center"/>
    </xf>
    <xf borderId="1" fillId="0" fontId="1" numFmtId="0" xfId="0" applyAlignment="1" applyBorder="1" applyFont="1">
      <alignment horizontal="left" vertical="center"/>
    </xf>
    <xf borderId="2" fillId="4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4" fillId="4" fontId="6" numFmtId="0" xfId="0" applyAlignment="1" applyBorder="1" applyFill="1" applyFont="1">
      <alignment horizontal="center" readingOrder="0" shrinkToFit="0" vertical="center" wrapText="1"/>
    </xf>
    <xf borderId="5" fillId="4" fontId="4" numFmtId="164" xfId="0" applyAlignment="1" applyBorder="1" applyFill="1" applyFont="1" applyNumberFormat="1">
      <alignment horizontal="center" shrinkToFit="0" vertical="center" wrapText="1"/>
    </xf>
    <xf borderId="5" fillId="4" fontId="6" numFmtId="164" xfId="0" applyAlignment="1" applyBorder="1" applyFill="1" applyFont="1" applyNumberFormat="1">
      <alignment horizontal="center" shrinkToFit="0" vertical="center" wrapText="1"/>
    </xf>
    <xf borderId="5" fillId="5" fontId="7" numFmtId="164" xfId="0" applyAlignment="1" applyBorder="1" applyFill="1" applyFont="1" applyNumberFormat="1">
      <alignment horizontal="center" shrinkToFit="0" vertical="center" wrapText="1"/>
    </xf>
    <xf borderId="5" fillId="5" fontId="7" numFmtId="0" xfId="0" applyAlignment="1" applyBorder="1" applyFill="1" applyFont="1">
      <alignment horizontal="center" shrinkToFit="0" vertical="center" wrapText="1"/>
    </xf>
    <xf borderId="5" fillId="6" fontId="4" numFmtId="0" xfId="0" applyAlignment="1" applyBorder="1" applyFill="1" applyFont="1">
      <alignment horizontal="center" shrinkToFit="0" vertical="center" wrapText="1"/>
    </xf>
    <xf borderId="5" fillId="7" fontId="4" numFmtId="0" xfId="0" applyAlignment="1" applyBorder="1" applyFill="1" applyFont="1">
      <alignment horizontal="center" shrinkToFit="0" vertical="center" wrapText="1"/>
    </xf>
    <xf borderId="5" fillId="6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5" fillId="8" fontId="6" numFmtId="0" xfId="0" applyAlignment="1" applyBorder="1" applyFill="1" applyFont="1">
      <alignment horizontal="center" readingOrder="0" shrinkToFit="0" vertical="center" wrapText="1"/>
    </xf>
    <xf borderId="10" fillId="0" fontId="5" numFmtId="0" xfId="0" applyBorder="1" applyFont="1"/>
    <xf borderId="11" fillId="0" fontId="5" numFmtId="0" xfId="0" applyBorder="1" applyFont="1"/>
    <xf borderId="12" fillId="0" fontId="5" numFmtId="0" xfId="0" applyBorder="1" applyFont="1"/>
    <xf borderId="13" fillId="0" fontId="5" numFmtId="0" xfId="0" applyBorder="1" applyFont="1"/>
    <xf borderId="14" fillId="9" fontId="1" numFmtId="165" xfId="0" applyAlignment="1" applyBorder="1" applyFill="1" applyFont="1" applyNumberFormat="1">
      <alignment horizontal="center" vertical="center"/>
    </xf>
    <xf borderId="15" fillId="0" fontId="5" numFmtId="0" xfId="0" applyBorder="1" applyFont="1"/>
    <xf borderId="16" fillId="9" fontId="1" numFmtId="165" xfId="0" applyAlignment="1" applyBorder="1" applyFill="1" applyFont="1" applyNumberFormat="1">
      <alignment horizontal="center" vertical="center"/>
    </xf>
    <xf borderId="16" fillId="9" fontId="8" numFmtId="165" xfId="0" applyAlignment="1" applyBorder="1" applyFill="1" applyFont="1" applyNumberFormat="1">
      <alignment horizontal="center" vertical="center"/>
    </xf>
    <xf borderId="16" fillId="9" fontId="8" numFmtId="164" xfId="0" applyAlignment="1" applyBorder="1" applyFill="1" applyFont="1" applyNumberFormat="1">
      <alignment horizontal="center" vertical="center"/>
    </xf>
    <xf borderId="17" fillId="9" fontId="8" numFmtId="165" xfId="0" applyAlignment="1" applyBorder="1" applyFill="1" applyFont="1" applyNumberFormat="1">
      <alignment horizontal="center" vertical="center"/>
    </xf>
    <xf borderId="1" fillId="10" fontId="2" numFmtId="0" xfId="0" applyAlignment="1" applyBorder="1" applyFill="1" applyFont="1">
      <alignment vertical="center"/>
    </xf>
    <xf borderId="1" fillId="10" fontId="2" numFmtId="164" xfId="0" applyAlignment="1" applyBorder="1" applyFill="1" applyFont="1" applyNumberFormat="1">
      <alignment vertical="center"/>
    </xf>
    <xf borderId="18" fillId="10" fontId="2" numFmtId="0" xfId="0" applyAlignment="1" applyBorder="1" applyFill="1" applyFont="1">
      <alignment vertical="center"/>
    </xf>
    <xf borderId="19" fillId="4" fontId="4" numFmtId="0" xfId="0" applyAlignment="1" applyBorder="1" applyFill="1" applyFont="1">
      <alignment vertical="center"/>
    </xf>
    <xf borderId="20" fillId="4" fontId="4" numFmtId="0" xfId="0" applyAlignment="1" applyBorder="1" applyFill="1" applyFont="1">
      <alignment vertical="center"/>
    </xf>
    <xf borderId="20" fillId="5" fontId="9" numFmtId="0" xfId="0" applyAlignment="1" applyBorder="1" applyFill="1" applyFont="1">
      <alignment vertical="center"/>
    </xf>
    <xf borderId="21" fillId="5" fontId="9" numFmtId="0" xfId="0" applyAlignment="1" applyBorder="1" applyFill="1" applyFont="1">
      <alignment vertical="center"/>
    </xf>
    <xf borderId="21" fillId="5" fontId="10" numFmtId="164" xfId="0" applyAlignment="1" applyBorder="1" applyFill="1" applyFont="1" applyNumberFormat="1">
      <alignment vertical="center"/>
    </xf>
    <xf borderId="1" fillId="10" fontId="2" numFmtId="3" xfId="0" applyAlignment="1" applyBorder="1" applyFill="1" applyFont="1" applyNumberFormat="1">
      <alignment vertical="center"/>
    </xf>
    <xf borderId="22" fillId="0" fontId="1" numFmtId="0" xfId="0" applyAlignment="1" applyBorder="1" applyFont="1">
      <alignment horizontal="center" vertical="center"/>
    </xf>
    <xf borderId="1" fillId="0" fontId="3" numFmtId="164" xfId="0" applyAlignment="1" applyBorder="1" applyFont="1" applyNumberFormat="1">
      <alignment horizontal="right" vertical="center"/>
    </xf>
    <xf borderId="1" fillId="11" fontId="1" numFmtId="164" xfId="0" applyAlignment="1" applyBorder="1" applyFill="1" applyFont="1" applyNumberFormat="1">
      <alignment horizontal="right" vertical="center"/>
    </xf>
    <xf borderId="1" fillId="11" fontId="3" numFmtId="164" xfId="0" applyAlignment="1" applyBorder="1" applyFill="1" applyFont="1" applyNumberFormat="1">
      <alignment horizontal="right" vertical="center"/>
    </xf>
    <xf borderId="1" fillId="0" fontId="9" numFmtId="164" xfId="0" applyAlignment="1" applyBorder="1" applyFont="1" applyNumberFormat="1">
      <alignment vertical="center"/>
    </xf>
    <xf borderId="1" fillId="12" fontId="9" numFmtId="164" xfId="0" applyAlignment="1" applyBorder="1" applyFill="1" applyFont="1" applyNumberFormat="1">
      <alignment vertical="center"/>
    </xf>
    <xf borderId="1" fillId="0" fontId="9" numFmtId="3" xfId="0" applyAlignment="1" applyBorder="1" applyFont="1" applyNumberFormat="1">
      <alignment vertical="center"/>
    </xf>
    <xf borderId="1" fillId="13" fontId="11" numFmtId="0" xfId="0" applyAlignment="1" applyBorder="1" applyFill="1" applyFont="1">
      <alignment horizontal="center" readingOrder="0" shrinkToFit="0" vertical="center" wrapText="1"/>
    </xf>
    <xf borderId="23" fillId="14" fontId="3" numFmtId="3" xfId="0" applyAlignment="1" applyBorder="1" applyFill="1" applyFont="1" applyNumberFormat="1">
      <alignment horizontal="right" vertical="center"/>
    </xf>
    <xf borderId="1" fillId="13" fontId="11" numFmtId="0" xfId="0" applyAlignment="1" applyBorder="1" applyFill="1" applyFont="1">
      <alignment horizontal="center" shrinkToFit="0" vertical="center" wrapText="1"/>
    </xf>
    <xf borderId="1" fillId="13" fontId="11" numFmtId="3" xfId="0" applyAlignment="1" applyBorder="1" applyFill="1" applyFont="1" applyNumberFormat="1">
      <alignment horizontal="center" readingOrder="0" shrinkToFit="0" vertical="center" wrapText="1"/>
    </xf>
    <xf borderId="23" fillId="0" fontId="9" numFmtId="164" xfId="0" applyAlignment="1" applyBorder="1" applyFont="1" applyNumberFormat="1">
      <alignment vertical="center"/>
    </xf>
    <xf borderId="1" fillId="12" fontId="3" numFmtId="164" xfId="0" applyAlignment="1" applyBorder="1" applyFill="1" applyFont="1" applyNumberFormat="1">
      <alignment horizontal="right" vertical="center"/>
    </xf>
    <xf borderId="1" fillId="0" fontId="3" numFmtId="3" xfId="0" applyAlignment="1" applyBorder="1" applyFont="1" applyNumberFormat="1">
      <alignment horizontal="right" vertical="center"/>
    </xf>
    <xf borderId="1" fillId="0" fontId="1" numFmtId="0" xfId="0" applyAlignment="1" applyBorder="1" applyFont="1">
      <alignment horizontal="left" readingOrder="0" vertical="center"/>
    </xf>
    <xf borderId="1" fillId="13" fontId="2" numFmtId="3" xfId="0" applyAlignment="1" applyBorder="1" applyFill="1" applyFont="1" applyNumberFormat="1">
      <alignment vertical="center"/>
    </xf>
    <xf borderId="0" fillId="0" fontId="2" numFmtId="164" xfId="0" applyAlignment="1" applyFont="1" applyNumberFormat="1">
      <alignment vertical="center"/>
    </xf>
    <xf borderId="1" fillId="11" fontId="3" numFmtId="0" xfId="0" applyAlignment="1" applyBorder="1" applyFill="1" applyFont="1">
      <alignment horizontal="right" vertical="center"/>
    </xf>
    <xf borderId="1" fillId="0" fontId="3" numFmtId="164" xfId="0" applyAlignment="1" applyBorder="1" applyFont="1" applyNumberFormat="1">
      <alignment horizontal="right" readingOrder="0" vertical="center"/>
    </xf>
    <xf borderId="1" fillId="12" fontId="3" numFmtId="3" xfId="0" applyAlignment="1" applyBorder="1" applyFill="1" applyFont="1" applyNumberFormat="1">
      <alignment horizontal="right" vertical="center"/>
    </xf>
    <xf borderId="0" fillId="15" fontId="2" numFmtId="166" xfId="0" applyAlignment="1" applyFill="1" applyFont="1" applyNumberFormat="1">
      <alignment horizontal="left" vertical="center"/>
    </xf>
    <xf borderId="0" fillId="15" fontId="2" numFmtId="10" xfId="0" applyAlignment="1" applyFill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13" fontId="2" numFmtId="164" xfId="0" applyAlignment="1" applyBorder="1" applyFill="1" applyFont="1" applyNumberFormat="1">
      <alignment vertical="center"/>
    </xf>
    <xf borderId="1" fillId="0" fontId="1" numFmtId="164" xfId="0" applyAlignment="1" applyBorder="1" applyFont="1" applyNumberFormat="1">
      <alignment horizontal="right" vertical="center"/>
    </xf>
    <xf borderId="23" fillId="14" fontId="9" numFmtId="3" xfId="0" applyAlignment="1" applyBorder="1" applyFill="1" applyFont="1" applyNumberFormat="1">
      <alignment vertical="center"/>
    </xf>
    <xf borderId="1" fillId="14" fontId="1" numFmtId="0" xfId="0" applyAlignment="1" applyBorder="1" applyFill="1" applyFont="1">
      <alignment horizontal="left" vertical="center"/>
    </xf>
    <xf borderId="20" fillId="4" fontId="4" numFmtId="3" xfId="0" applyAlignment="1" applyBorder="1" applyFill="1" applyFont="1" applyNumberFormat="1">
      <alignment vertical="center"/>
    </xf>
    <xf borderId="1" fillId="13" fontId="2" numFmtId="164" xfId="0" applyAlignment="1" applyBorder="1" applyFill="1" applyFont="1" applyNumberFormat="1">
      <alignment horizontal="center" vertical="center"/>
    </xf>
    <xf borderId="1" fillId="13" fontId="2" numFmtId="0" xfId="0" applyAlignment="1" applyBorder="1" applyFill="1" applyFont="1">
      <alignment horizontal="center" vertical="center"/>
    </xf>
    <xf borderId="1" fillId="13" fontId="2" numFmtId="0" xfId="0" applyAlignment="1" applyBorder="1" applyFill="1" applyFont="1">
      <alignment vertical="center"/>
    </xf>
    <xf borderId="22" fillId="16" fontId="1" numFmtId="0" xfId="0" applyAlignment="1" applyBorder="1" applyFill="1" applyFont="1">
      <alignment vertical="center"/>
    </xf>
    <xf borderId="24" fillId="16" fontId="1" numFmtId="0" xfId="0" applyAlignment="1" applyBorder="1" applyFill="1" applyFont="1">
      <alignment vertical="center"/>
    </xf>
    <xf borderId="20" fillId="16" fontId="1" numFmtId="0" xfId="0" applyAlignment="1" applyBorder="1" applyFill="1" applyFont="1">
      <alignment vertical="center"/>
    </xf>
    <xf borderId="20" fillId="16" fontId="1" numFmtId="3" xfId="0" applyAlignment="1" applyBorder="1" applyFill="1" applyFont="1" applyNumberFormat="1">
      <alignment vertical="center"/>
    </xf>
    <xf borderId="22" fillId="0" fontId="1" numFmtId="0" xfId="0" applyAlignment="1" applyBorder="1" applyFont="1">
      <alignment horizontal="center" readingOrder="0" vertical="center"/>
    </xf>
    <xf borderId="1" fillId="0" fontId="3" numFmtId="167" xfId="0" applyAlignment="1" applyBorder="1" applyFont="1" applyNumberFormat="1">
      <alignment horizontal="right" vertical="center"/>
    </xf>
    <xf borderId="1" fillId="0" fontId="3" numFmtId="164" xfId="0" applyAlignment="1" applyBorder="1" applyFont="1" applyNumberFormat="1">
      <alignment horizontal="left" vertical="center"/>
    </xf>
    <xf borderId="1" fillId="0" fontId="3" numFmtId="168" xfId="0" applyAlignment="1" applyBorder="1" applyFont="1" applyNumberFormat="1">
      <alignment horizontal="right" vertical="center"/>
    </xf>
    <xf borderId="1" fillId="0" fontId="3" numFmtId="164" xfId="0" applyAlignment="1" applyBorder="1" applyFont="1" applyNumberFormat="1">
      <alignment vertical="center"/>
    </xf>
    <xf borderId="22" fillId="0" fontId="1" numFmtId="0" xfId="0" applyAlignment="1" applyBorder="1" applyFont="1">
      <alignment horizontal="right" vertical="center"/>
    </xf>
    <xf borderId="1" fillId="0" fontId="1" numFmtId="164" xfId="0" applyAlignment="1" applyBorder="1" applyFont="1" applyNumberFormat="1">
      <alignment horizontal="center" vertical="center"/>
    </xf>
    <xf borderId="1" fillId="0" fontId="1" numFmtId="164" xfId="0" applyAlignment="1" applyBorder="1" applyFont="1" applyNumberFormat="1">
      <alignment horizontal="left" vertical="center"/>
    </xf>
    <xf borderId="1" fillId="0" fontId="3" numFmtId="3" xfId="0" applyAlignment="1" applyBorder="1" applyFont="1" applyNumberFormat="1">
      <alignment horizontal="left" vertical="center"/>
    </xf>
    <xf borderId="22" fillId="0" fontId="1" numFmtId="0" xfId="0" applyAlignment="1" applyBorder="1" applyFont="1">
      <alignment horizontal="right" readingOrder="0" vertical="center"/>
    </xf>
    <xf borderId="1" fillId="0" fontId="3" numFmtId="168" xfId="0" applyAlignment="1" applyBorder="1" applyFont="1" applyNumberFormat="1">
      <alignment horizontal="right" readingOrder="0" vertical="center"/>
    </xf>
    <xf borderId="25" fillId="4" fontId="4" numFmtId="0" xfId="0" applyAlignment="1" applyBorder="1" applyFill="1" applyFont="1">
      <alignment horizontal="center" vertical="center"/>
    </xf>
    <xf borderId="26" fillId="4" fontId="4" numFmtId="0" xfId="0" applyAlignment="1" applyBorder="1" applyFill="1" applyFont="1">
      <alignment horizontal="left" vertical="center"/>
    </xf>
    <xf borderId="26" fillId="4" fontId="4" numFmtId="164" xfId="0" applyAlignment="1" applyBorder="1" applyFill="1" applyFont="1" applyNumberFormat="1">
      <alignment horizontal="right" vertical="center"/>
    </xf>
    <xf borderId="1" fillId="10" fontId="11" numFmtId="164" xfId="0" applyAlignment="1" applyBorder="1" applyFill="1" applyFont="1" applyNumberFormat="1">
      <alignment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center" vertical="center"/>
    </xf>
    <xf borderId="0" fillId="0" fontId="3" numFmtId="164" xfId="0" applyAlignment="1" applyFont="1" applyNumberFormat="1">
      <alignment readingOrder="0" vertical="center"/>
    </xf>
    <xf borderId="27" fillId="6" fontId="6" numFmtId="164" xfId="0" applyAlignment="1" applyBorder="1" applyFill="1" applyFont="1" applyNumberFormat="1">
      <alignment horizontal="right" readingOrder="0" vertical="center"/>
    </xf>
    <xf borderId="0" fillId="3" fontId="9" numFmtId="0" xfId="0" applyAlignment="1" applyFill="1" applyFont="1">
      <alignment vertical="center"/>
    </xf>
    <xf borderId="0" fillId="3" fontId="1" numFmtId="164" xfId="0" applyAlignment="1" applyFill="1" applyFont="1" applyNumberFormat="1">
      <alignment horizontal="center" vertical="center"/>
    </xf>
    <xf borderId="0" fillId="13" fontId="9" numFmtId="0" xfId="0" applyAlignment="1" applyFill="1" applyFont="1">
      <alignment vertical="center"/>
    </xf>
    <xf borderId="0" fillId="13" fontId="1" numFmtId="164" xfId="0" applyAlignment="1" applyFill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pageSetUpPr fitToPage="1"/>
  </sheetPr>
  <sheetViews>
    <sheetView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2.63" defaultRowHeight="15.75"/>
  <cols>
    <col customWidth="1" min="1" max="1" width="4.5"/>
    <col customWidth="1" min="2" max="2" width="35.88"/>
    <col customWidth="1" min="3" max="3" width="20.88"/>
    <col customWidth="1" min="4" max="4" width="11.38"/>
    <col customWidth="1" min="5" max="5" width="11.88"/>
    <col customWidth="1" min="6" max="9" width="9.75"/>
    <col customWidth="1" min="10" max="12" width="15.5"/>
    <col customWidth="1" min="13" max="13" width="16.5"/>
    <col customWidth="1" min="14" max="15" width="15.5"/>
    <col customWidth="1" min="16" max="16" width="12.0"/>
    <col customWidth="1" min="17" max="17" width="12.25"/>
    <col customWidth="1" min="18" max="18" width="15.25"/>
    <col customWidth="1" min="19" max="19" width="14.63"/>
    <col customWidth="1" min="20" max="20" width="13.63"/>
    <col customWidth="1" min="21" max="34" width="12.5"/>
    <col customWidth="1" min="35" max="35" width="14.63"/>
    <col customWidth="1" min="36" max="53" width="12.5"/>
    <col customWidth="1" min="54" max="54" width="3.38"/>
    <col customWidth="1" min="55" max="55" width="12.88"/>
    <col customWidth="1" min="56" max="56" width="20.13"/>
    <col customWidth="1" min="57" max="57" width="4.5"/>
    <col customWidth="1" min="58" max="58" width="7.5"/>
    <col customWidth="1" min="59" max="59" width="5.63"/>
    <col customWidth="1" min="60" max="60" width="12.5"/>
    <col customWidth="1" min="61" max="61" width="10.38"/>
    <col customWidth="1" min="62" max="62" width="13.13"/>
    <col customWidth="1" min="63" max="63" width="11.38"/>
    <col customWidth="1" min="64" max="64" width="10.38"/>
    <col customWidth="1" min="65" max="65" width="10.0"/>
    <col customWidth="1" min="66" max="66" width="11.13"/>
    <col customWidth="1" min="67" max="67" width="11.75"/>
    <col customWidth="1" min="68" max="68" width="9.5"/>
    <col customWidth="1" min="69" max="69" width="12.63"/>
    <col customWidth="1" min="70" max="70" width="12.5"/>
    <col customWidth="1" min="71" max="71" width="9.5"/>
    <col customWidth="1" min="72" max="72" width="9.13"/>
    <col customWidth="1" min="73" max="73" width="12.25"/>
    <col customWidth="1" min="74" max="74" width="8.75"/>
    <col customWidth="1" min="75" max="75" width="10.25"/>
    <col customWidth="1" min="76" max="76" width="11.75"/>
    <col customWidth="1" min="77" max="77" width="12.25"/>
    <col customWidth="1" min="78" max="78" width="11.75"/>
    <col customWidth="1" min="79" max="79" width="12.0"/>
    <col customWidth="1" min="80" max="80" width="10.5"/>
  </cols>
  <sheetData>
    <row r="1" hidden="1">
      <c r="A1" s="1" t="s">
        <v>0</v>
      </c>
      <c r="C1" s="2"/>
      <c r="D1" s="3" t="s">
        <v>1</v>
      </c>
      <c r="E1" s="4"/>
      <c r="F1" s="5"/>
      <c r="G1" s="6"/>
      <c r="H1" s="4"/>
      <c r="I1" s="7"/>
      <c r="J1" s="6"/>
      <c r="K1" s="6"/>
      <c r="L1" s="6"/>
      <c r="M1" s="6"/>
      <c r="N1" s="6"/>
      <c r="O1" s="6"/>
      <c r="P1" s="8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9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</row>
    <row r="2" hidden="1">
      <c r="A2" s="1" t="s">
        <v>2</v>
      </c>
      <c r="C2" s="2"/>
      <c r="D2" s="3" t="s">
        <v>1</v>
      </c>
      <c r="E2" s="2"/>
      <c r="F2" s="2"/>
      <c r="G2" s="6"/>
      <c r="H2" s="4"/>
      <c r="I2" s="7"/>
      <c r="J2" s="6"/>
      <c r="K2" s="6"/>
      <c r="L2" s="6"/>
      <c r="M2" s="6"/>
      <c r="N2" s="6"/>
      <c r="O2" s="6"/>
      <c r="P2" s="8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9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</row>
    <row r="3" hidden="1">
      <c r="A3" s="1" t="s">
        <v>3</v>
      </c>
      <c r="C3" s="2"/>
      <c r="D3" s="3" t="s">
        <v>1</v>
      </c>
      <c r="E3" s="2"/>
      <c r="F3" s="5"/>
      <c r="G3" s="6"/>
      <c r="H3" s="4"/>
      <c r="I3" s="7"/>
      <c r="J3" s="6"/>
      <c r="K3" s="6"/>
      <c r="L3" s="6"/>
      <c r="M3" s="6"/>
      <c r="N3" s="6"/>
      <c r="O3" s="6"/>
      <c r="P3" s="8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9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</row>
    <row r="4">
      <c r="A4" s="10" t="s">
        <v>5</v>
      </c>
      <c r="B4" s="2"/>
      <c r="C4" s="2"/>
      <c r="D4" s="11"/>
      <c r="F4" s="12"/>
      <c r="G4" s="13"/>
      <c r="H4" s="14"/>
      <c r="I4" s="15"/>
      <c r="J4" s="16"/>
      <c r="K4" s="16"/>
      <c r="L4" s="16"/>
      <c r="M4" s="16"/>
      <c r="N4" s="16"/>
      <c r="O4" s="16"/>
      <c r="P4" s="17"/>
      <c r="Q4" s="2"/>
      <c r="R4" s="2"/>
      <c r="S4" s="2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9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</row>
    <row r="5">
      <c r="A5" s="19" t="s">
        <v>6</v>
      </c>
      <c r="B5" s="20"/>
      <c r="C5" s="21" t="s">
        <v>7</v>
      </c>
      <c r="D5" s="22" t="s">
        <v>8</v>
      </c>
      <c r="E5" s="23" t="s">
        <v>9</v>
      </c>
      <c r="F5" s="22" t="s">
        <v>10</v>
      </c>
      <c r="G5" s="22" t="s">
        <v>11</v>
      </c>
      <c r="H5" s="23" t="s">
        <v>12</v>
      </c>
      <c r="I5" s="22" t="s">
        <v>13</v>
      </c>
      <c r="J5" s="24" t="s">
        <v>14</v>
      </c>
      <c r="K5" s="24" t="s">
        <v>15</v>
      </c>
      <c r="L5" s="24" t="s">
        <v>16</v>
      </c>
      <c r="M5" s="24" t="s">
        <v>17</v>
      </c>
      <c r="N5" s="24" t="s">
        <v>18</v>
      </c>
      <c r="O5" s="24" t="s">
        <v>19</v>
      </c>
      <c r="P5" s="24" t="s">
        <v>20</v>
      </c>
      <c r="Q5" s="24" t="s">
        <v>21</v>
      </c>
      <c r="R5" s="25" t="s">
        <v>22</v>
      </c>
      <c r="S5" s="26" t="s">
        <v>23</v>
      </c>
      <c r="T5" s="27" t="s">
        <v>24</v>
      </c>
      <c r="U5" s="27" t="s">
        <v>25</v>
      </c>
      <c r="V5" s="27" t="s">
        <v>26</v>
      </c>
      <c r="W5" s="27" t="s">
        <v>27</v>
      </c>
      <c r="X5" s="27" t="s">
        <v>28</v>
      </c>
      <c r="Y5" s="27" t="s">
        <v>29</v>
      </c>
      <c r="Z5" s="27" t="s">
        <v>30</v>
      </c>
      <c r="AA5" s="27" t="s">
        <v>31</v>
      </c>
      <c r="AB5" s="27" t="s">
        <v>32</v>
      </c>
      <c r="AC5" s="27" t="s">
        <v>33</v>
      </c>
      <c r="AD5" s="27" t="s">
        <v>34</v>
      </c>
      <c r="AE5" s="27" t="s">
        <v>35</v>
      </c>
      <c r="AF5" s="27"/>
      <c r="AG5" s="27"/>
      <c r="AH5" s="27"/>
      <c r="AI5" s="28" t="s">
        <v>36</v>
      </c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8" t="s">
        <v>37</v>
      </c>
      <c r="AZ5" s="28" t="s">
        <v>38</v>
      </c>
      <c r="BA5" s="2"/>
      <c r="BB5" s="34" t="s">
        <v>39</v>
      </c>
      <c r="BC5" s="34" t="s">
        <v>40</v>
      </c>
      <c r="BD5" s="34" t="s">
        <v>41</v>
      </c>
      <c r="BE5" s="34" t="s">
        <v>42</v>
      </c>
      <c r="BF5" s="34" t="s">
        <v>43</v>
      </c>
      <c r="BG5" s="34" t="s">
        <v>44</v>
      </c>
      <c r="BH5" s="34" t="s">
        <v>45</v>
      </c>
      <c r="BI5" s="34" t="s">
        <v>46</v>
      </c>
      <c r="BJ5" s="34" t="s">
        <v>47</v>
      </c>
      <c r="BK5" s="34" t="s">
        <v>48</v>
      </c>
      <c r="BL5" s="34" t="s">
        <v>49</v>
      </c>
      <c r="BM5" s="34" t="s">
        <v>50</v>
      </c>
      <c r="BN5" s="34" t="s">
        <v>51</v>
      </c>
      <c r="BO5" s="34" t="s">
        <v>53</v>
      </c>
      <c r="BP5" s="34" t="s">
        <v>54</v>
      </c>
      <c r="BQ5" s="34" t="s">
        <v>55</v>
      </c>
      <c r="BR5" s="34" t="s">
        <v>56</v>
      </c>
      <c r="BS5" s="34" t="s">
        <v>57</v>
      </c>
      <c r="BT5" s="34" t="s">
        <v>58</v>
      </c>
      <c r="BU5" s="34" t="s">
        <v>59</v>
      </c>
      <c r="BV5" s="34" t="s">
        <v>60</v>
      </c>
      <c r="BW5" s="34" t="s">
        <v>61</v>
      </c>
      <c r="BX5" s="34" t="s">
        <v>63</v>
      </c>
      <c r="BY5" s="34" t="s">
        <v>65</v>
      </c>
      <c r="BZ5" s="34" t="s">
        <v>66</v>
      </c>
      <c r="CA5" s="34" t="s">
        <v>67</v>
      </c>
      <c r="CB5" s="34" t="s">
        <v>68</v>
      </c>
    </row>
    <row r="6">
      <c r="A6" s="30"/>
      <c r="B6" s="31"/>
      <c r="C6" s="32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33"/>
      <c r="AZ6" s="33"/>
      <c r="BA6" s="2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</row>
    <row r="7">
      <c r="A7" s="35"/>
      <c r="B7" s="36"/>
      <c r="C7" s="37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38"/>
      <c r="AZ7" s="38"/>
      <c r="BA7" s="2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</row>
    <row r="8">
      <c r="A8" s="39" t="s">
        <v>52</v>
      </c>
      <c r="B8" s="40"/>
      <c r="C8" s="41"/>
      <c r="D8" s="41">
        <v>2024.0</v>
      </c>
      <c r="E8" s="41">
        <v>2024.0</v>
      </c>
      <c r="F8" s="41">
        <v>2024.0</v>
      </c>
      <c r="G8" s="41">
        <v>2024.0</v>
      </c>
      <c r="H8" s="41">
        <v>2024.0</v>
      </c>
      <c r="I8" s="41">
        <v>2024.0</v>
      </c>
      <c r="J8" s="42">
        <v>2024.0</v>
      </c>
      <c r="K8" s="42">
        <v>2024.0</v>
      </c>
      <c r="L8" s="42">
        <v>2024.0</v>
      </c>
      <c r="M8" s="42">
        <v>2024.0</v>
      </c>
      <c r="N8" s="43" t="s">
        <v>62</v>
      </c>
      <c r="O8" s="43" t="s">
        <v>64</v>
      </c>
      <c r="P8" s="43" t="s">
        <v>62</v>
      </c>
      <c r="Q8" s="43" t="s">
        <v>64</v>
      </c>
      <c r="R8" s="44">
        <v>2024.0</v>
      </c>
      <c r="S8" s="45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6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47"/>
      <c r="AZ8" s="47"/>
      <c r="BA8" s="2"/>
      <c r="BB8" s="61">
        <v>1.0</v>
      </c>
      <c r="BC8" s="61" t="s">
        <v>70</v>
      </c>
      <c r="BD8" s="61" t="s">
        <v>71</v>
      </c>
      <c r="BE8" s="61">
        <v>14.0</v>
      </c>
      <c r="BF8" s="61">
        <v>1414120.0</v>
      </c>
      <c r="BG8" s="61">
        <v>14141.0</v>
      </c>
      <c r="BH8" s="61" t="s">
        <v>72</v>
      </c>
      <c r="BI8" s="63"/>
      <c r="BJ8" s="64">
        <v>56000.0</v>
      </c>
      <c r="BK8" s="61" t="s">
        <v>73</v>
      </c>
      <c r="BL8" s="64">
        <v>55000.0</v>
      </c>
      <c r="BM8" s="61" t="s">
        <v>73</v>
      </c>
      <c r="BN8" s="61" t="s">
        <v>73</v>
      </c>
      <c r="BO8" s="61" t="s">
        <v>73</v>
      </c>
      <c r="BP8" s="61" t="s">
        <v>73</v>
      </c>
      <c r="BQ8" s="61" t="s">
        <v>73</v>
      </c>
      <c r="BR8" s="64">
        <v>145150.0</v>
      </c>
      <c r="BS8" s="61" t="s">
        <v>73</v>
      </c>
      <c r="BT8" s="61" t="s">
        <v>73</v>
      </c>
      <c r="BU8" s="61" t="s">
        <v>73</v>
      </c>
      <c r="BV8" s="64">
        <v>72619.0</v>
      </c>
      <c r="BW8" s="61" t="s">
        <v>73</v>
      </c>
      <c r="BX8" s="61" t="s">
        <v>73</v>
      </c>
      <c r="BY8" s="61" t="s">
        <v>73</v>
      </c>
      <c r="BZ8" s="61" t="s">
        <v>73</v>
      </c>
      <c r="CA8" s="61" t="s">
        <v>73</v>
      </c>
      <c r="CB8" s="64">
        <v>328769.0</v>
      </c>
    </row>
    <row r="9">
      <c r="A9" s="48" t="s">
        <v>69</v>
      </c>
      <c r="B9" s="49"/>
      <c r="C9" s="49"/>
      <c r="D9" s="49"/>
      <c r="E9" s="49"/>
      <c r="F9" s="49"/>
      <c r="G9" s="49"/>
      <c r="H9" s="49"/>
      <c r="I9" s="49"/>
      <c r="J9" s="50"/>
      <c r="K9" s="50"/>
      <c r="L9" s="50"/>
      <c r="M9" s="50"/>
      <c r="N9" s="50"/>
      <c r="O9" s="50"/>
      <c r="P9" s="51"/>
      <c r="Q9" s="51"/>
      <c r="R9" s="51"/>
      <c r="S9" s="45"/>
      <c r="T9" s="52" t="str">
        <f>S10</f>
        <v>#DIV/0!</v>
      </c>
      <c r="U9" s="52" t="str">
        <f>S11</f>
        <v>#DIV/0!</v>
      </c>
      <c r="V9" s="52" t="str">
        <f>S12</f>
        <v>#DIV/0!</v>
      </c>
      <c r="W9" s="52" t="str">
        <f>S13</f>
        <v>#DIV/0!</v>
      </c>
      <c r="X9" s="52" t="str">
        <f>S14</f>
        <v>#DIV/0!</v>
      </c>
      <c r="Y9" s="52" t="str">
        <f>S15</f>
        <v>#DIV/0!</v>
      </c>
      <c r="Z9" s="52" t="str">
        <f>S16</f>
        <v>#DIV/0!</v>
      </c>
      <c r="AA9" s="52" t="str">
        <f>S17</f>
        <v>#DIV/0!</v>
      </c>
      <c r="AB9" s="52" t="str">
        <f>S18</f>
        <v>#DIV/0!</v>
      </c>
      <c r="AC9" s="52" t="str">
        <f>S19</f>
        <v>#DIV/0!</v>
      </c>
      <c r="AD9" s="52" t="str">
        <f>S20</f>
        <v>#DIV/0!</v>
      </c>
      <c r="AE9" s="52" t="str">
        <f>S21</f>
        <v>#DIV/0!</v>
      </c>
      <c r="AF9" s="51"/>
      <c r="AG9" s="51"/>
      <c r="AH9" s="51"/>
      <c r="AI9" s="46" t="str">
        <f>sum(S9:AH9)</f>
        <v>#DIV/0!</v>
      </c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53"/>
      <c r="AZ9" s="53"/>
      <c r="BA9" s="2"/>
      <c r="BB9" s="61">
        <v>2.0</v>
      </c>
      <c r="BC9" s="69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69"/>
      <c r="BQ9" s="69"/>
      <c r="BR9" s="69"/>
      <c r="BS9" s="69"/>
      <c r="BT9" s="69"/>
      <c r="BU9" s="69"/>
      <c r="BV9" s="69"/>
      <c r="BW9" s="69"/>
      <c r="BX9" s="69"/>
      <c r="BY9" s="69"/>
      <c r="BZ9" s="69"/>
      <c r="CA9" s="69"/>
      <c r="CB9" s="69"/>
    </row>
    <row r="10">
      <c r="A10" s="54">
        <v>1.0</v>
      </c>
      <c r="B10" s="18" t="s">
        <v>24</v>
      </c>
      <c r="C10" s="18" t="s">
        <v>8</v>
      </c>
      <c r="D10" s="55"/>
      <c r="E10" s="56"/>
      <c r="F10" s="57"/>
      <c r="G10" s="57"/>
      <c r="H10" s="56"/>
      <c r="I10" s="56"/>
      <c r="J10" s="58"/>
      <c r="K10" s="59"/>
      <c r="L10" s="59"/>
      <c r="M10" s="58"/>
      <c r="N10" s="58"/>
      <c r="O10" s="60"/>
      <c r="P10" s="62" t="str">
        <f t="shared" ref="P10:P21" si="1">ROUND((N10/$N$74*$P$75)/5,0)</f>
        <v>#DIV/0!</v>
      </c>
      <c r="Q10" s="62" t="str">
        <f t="shared" ref="Q10:Q21" si="2">ROUND((O10/$O$74*$Q$75)/40,0)</f>
        <v>#DIV/0!</v>
      </c>
      <c r="R10" s="65"/>
      <c r="S10" s="46" t="str">
        <f t="shared" ref="S10:S72" si="3">ROUND(J10+K10+L10+M10+P10+Q10,0)</f>
        <v>#DIV/0!</v>
      </c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46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46"/>
      <c r="AZ10" s="46"/>
      <c r="BA10" s="2"/>
      <c r="BB10" s="61">
        <v>3.0</v>
      </c>
      <c r="BC10" s="77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7"/>
      <c r="BQ10" s="77"/>
      <c r="BR10" s="77"/>
      <c r="BS10" s="77"/>
      <c r="BT10" s="77"/>
      <c r="BU10" s="77"/>
      <c r="BV10" s="77"/>
      <c r="BW10" s="77"/>
      <c r="BX10" s="77"/>
      <c r="BY10" s="77"/>
      <c r="BZ10" s="77"/>
      <c r="CA10" s="77"/>
      <c r="CB10" s="77"/>
    </row>
    <row r="11">
      <c r="A11" s="54">
        <v>2.0</v>
      </c>
      <c r="B11" s="18" t="s">
        <v>25</v>
      </c>
      <c r="C11" s="18" t="s">
        <v>8</v>
      </c>
      <c r="D11" s="55"/>
      <c r="E11" s="56"/>
      <c r="F11" s="57"/>
      <c r="G11" s="57"/>
      <c r="H11" s="56"/>
      <c r="I11" s="56"/>
      <c r="J11" s="55"/>
      <c r="K11" s="66"/>
      <c r="L11" s="66"/>
      <c r="M11" s="55"/>
      <c r="N11" s="55"/>
      <c r="O11" s="67"/>
      <c r="P11" s="62" t="str">
        <f t="shared" si="1"/>
        <v>#DIV/0!</v>
      </c>
      <c r="Q11" s="62" t="str">
        <f t="shared" si="2"/>
        <v>#DIV/0!</v>
      </c>
      <c r="R11" s="65"/>
      <c r="S11" s="46" t="str">
        <f t="shared" si="3"/>
        <v>#DIV/0!</v>
      </c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46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46"/>
      <c r="AZ11" s="46"/>
      <c r="BA11" s="2"/>
      <c r="BB11" s="61">
        <v>4.0</v>
      </c>
      <c r="BC11" s="77"/>
      <c r="BD11" s="77"/>
      <c r="BE11" s="77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77"/>
      <c r="BQ11" s="77"/>
      <c r="BR11" s="77"/>
      <c r="BS11" s="77"/>
      <c r="BT11" s="77"/>
      <c r="BU11" s="77"/>
      <c r="BV11" s="77"/>
      <c r="BW11" s="77"/>
      <c r="BX11" s="77"/>
      <c r="BY11" s="77"/>
      <c r="BZ11" s="77"/>
      <c r="CA11" s="77"/>
      <c r="CB11" s="77"/>
    </row>
    <row r="12">
      <c r="A12" s="54">
        <v>3.0</v>
      </c>
      <c r="B12" s="18" t="s">
        <v>26</v>
      </c>
      <c r="C12" s="18" t="s">
        <v>8</v>
      </c>
      <c r="D12" s="55"/>
      <c r="E12" s="56"/>
      <c r="F12" s="57"/>
      <c r="G12" s="57"/>
      <c r="H12" s="56"/>
      <c r="I12" s="56"/>
      <c r="J12" s="55"/>
      <c r="K12" s="66"/>
      <c r="L12" s="66"/>
      <c r="M12" s="55"/>
      <c r="N12" s="55"/>
      <c r="O12" s="67"/>
      <c r="P12" s="62" t="str">
        <f t="shared" si="1"/>
        <v>#DIV/0!</v>
      </c>
      <c r="Q12" s="62" t="str">
        <f t="shared" si="2"/>
        <v>#DIV/0!</v>
      </c>
      <c r="R12" s="65"/>
      <c r="S12" s="46" t="str">
        <f t="shared" si="3"/>
        <v>#DIV/0!</v>
      </c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46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46"/>
      <c r="AZ12" s="46"/>
      <c r="BA12" s="2"/>
      <c r="BB12" s="61"/>
      <c r="BC12" s="77"/>
      <c r="BD12" s="77"/>
      <c r="BE12" s="77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</row>
    <row r="13">
      <c r="A13" s="54">
        <v>4.0</v>
      </c>
      <c r="B13" s="18" t="s">
        <v>27</v>
      </c>
      <c r="C13" s="18" t="s">
        <v>8</v>
      </c>
      <c r="D13" s="55"/>
      <c r="E13" s="56"/>
      <c r="F13" s="57"/>
      <c r="G13" s="57"/>
      <c r="H13" s="56"/>
      <c r="I13" s="56"/>
      <c r="J13" s="55"/>
      <c r="K13" s="66"/>
      <c r="L13" s="66"/>
      <c r="M13" s="55"/>
      <c r="N13" s="55"/>
      <c r="O13" s="67"/>
      <c r="P13" s="62" t="str">
        <f t="shared" si="1"/>
        <v>#DIV/0!</v>
      </c>
      <c r="Q13" s="62" t="str">
        <f t="shared" si="2"/>
        <v>#DIV/0!</v>
      </c>
      <c r="R13" s="65"/>
      <c r="S13" s="46" t="str">
        <f t="shared" si="3"/>
        <v>#DIV/0!</v>
      </c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46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46"/>
      <c r="AZ13" s="46"/>
      <c r="BA13" s="2"/>
      <c r="BB13" s="61"/>
      <c r="BC13" s="77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</row>
    <row r="14">
      <c r="A14" s="54">
        <v>5.0</v>
      </c>
      <c r="B14" s="18" t="s">
        <v>28</v>
      </c>
      <c r="C14" s="18" t="s">
        <v>8</v>
      </c>
      <c r="D14" s="55"/>
      <c r="E14" s="56"/>
      <c r="F14" s="57"/>
      <c r="G14" s="57"/>
      <c r="H14" s="56"/>
      <c r="I14" s="56"/>
      <c r="J14" s="55"/>
      <c r="K14" s="66"/>
      <c r="L14" s="66"/>
      <c r="M14" s="55"/>
      <c r="N14" s="55"/>
      <c r="O14" s="67"/>
      <c r="P14" s="62" t="str">
        <f t="shared" si="1"/>
        <v>#DIV/0!</v>
      </c>
      <c r="Q14" s="62" t="str">
        <f t="shared" si="2"/>
        <v>#DIV/0!</v>
      </c>
      <c r="R14" s="65"/>
      <c r="S14" s="46" t="str">
        <f t="shared" si="3"/>
        <v>#DIV/0!</v>
      </c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46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46"/>
      <c r="AZ14" s="46"/>
      <c r="BA14" s="2"/>
      <c r="BB14" s="61"/>
      <c r="BC14" s="77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</row>
    <row r="15">
      <c r="A15" s="54">
        <v>6.0</v>
      </c>
      <c r="B15" s="18" t="s">
        <v>29</v>
      </c>
      <c r="C15" s="68" t="s">
        <v>8</v>
      </c>
      <c r="D15" s="55"/>
      <c r="E15" s="56"/>
      <c r="F15" s="57"/>
      <c r="G15" s="57"/>
      <c r="H15" s="56"/>
      <c r="I15" s="56"/>
      <c r="J15" s="55"/>
      <c r="K15" s="66"/>
      <c r="L15" s="66"/>
      <c r="M15" s="55"/>
      <c r="N15" s="55"/>
      <c r="O15" s="67"/>
      <c r="P15" s="62" t="str">
        <f t="shared" si="1"/>
        <v>#DIV/0!</v>
      </c>
      <c r="Q15" s="62" t="str">
        <f t="shared" si="2"/>
        <v>#DIV/0!</v>
      </c>
      <c r="R15" s="65"/>
      <c r="S15" s="46" t="str">
        <f t="shared" si="3"/>
        <v>#DIV/0!</v>
      </c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46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46"/>
      <c r="AZ15" s="46"/>
      <c r="BA15" s="2"/>
      <c r="BB15" s="61"/>
      <c r="BC15" s="77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</row>
    <row r="16">
      <c r="A16" s="54">
        <v>7.0</v>
      </c>
      <c r="B16" s="18" t="s">
        <v>30</v>
      </c>
      <c r="C16" s="68" t="s">
        <v>8</v>
      </c>
      <c r="D16" s="55"/>
      <c r="E16" s="56"/>
      <c r="F16" s="57"/>
      <c r="G16" s="57"/>
      <c r="H16" s="56"/>
      <c r="I16" s="56"/>
      <c r="J16" s="55"/>
      <c r="K16" s="66"/>
      <c r="L16" s="66"/>
      <c r="M16" s="55"/>
      <c r="N16" s="55"/>
      <c r="O16" s="67"/>
      <c r="P16" s="62" t="str">
        <f t="shared" si="1"/>
        <v>#DIV/0!</v>
      </c>
      <c r="Q16" s="62" t="str">
        <f t="shared" si="2"/>
        <v>#DIV/0!</v>
      </c>
      <c r="R16" s="65"/>
      <c r="S16" s="46" t="str">
        <f t="shared" si="3"/>
        <v>#DIV/0!</v>
      </c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46"/>
      <c r="AJ16" s="70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46"/>
      <c r="AZ16" s="46"/>
      <c r="BA16" s="2"/>
      <c r="BB16" s="61"/>
      <c r="BC16" s="77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</row>
    <row r="17">
      <c r="A17" s="54">
        <v>8.0</v>
      </c>
      <c r="B17" s="18" t="s">
        <v>31</v>
      </c>
      <c r="C17" s="18" t="s">
        <v>74</v>
      </c>
      <c r="D17" s="71"/>
      <c r="E17" s="56"/>
      <c r="F17" s="57"/>
      <c r="G17" s="57"/>
      <c r="H17" s="56"/>
      <c r="I17" s="56"/>
      <c r="J17" s="56"/>
      <c r="K17" s="66"/>
      <c r="L17" s="66"/>
      <c r="M17" s="72"/>
      <c r="N17" s="66"/>
      <c r="O17" s="73"/>
      <c r="P17" s="62" t="str">
        <f t="shared" si="1"/>
        <v>#DIV/0!</v>
      </c>
      <c r="Q17" s="62" t="str">
        <f t="shared" si="2"/>
        <v>#DIV/0!</v>
      </c>
      <c r="R17" s="65"/>
      <c r="S17" s="46" t="str">
        <f t="shared" si="3"/>
        <v>#DIV/0!</v>
      </c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46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46"/>
      <c r="AZ17" s="46"/>
      <c r="BA17" s="2"/>
      <c r="BB17" s="61"/>
      <c r="BC17" s="77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7"/>
      <c r="BQ17" s="77"/>
      <c r="BR17" s="77"/>
      <c r="BS17" s="77"/>
      <c r="BT17" s="77"/>
      <c r="BU17" s="77"/>
      <c r="BV17" s="77"/>
      <c r="BW17" s="77"/>
      <c r="BX17" s="77"/>
      <c r="BY17" s="77"/>
      <c r="BZ17" s="77"/>
      <c r="CA17" s="77"/>
      <c r="CB17" s="77"/>
    </row>
    <row r="18">
      <c r="A18" s="54">
        <v>9.0</v>
      </c>
      <c r="B18" s="18" t="s">
        <v>32</v>
      </c>
      <c r="C18" s="18" t="s">
        <v>75</v>
      </c>
      <c r="D18" s="71"/>
      <c r="E18" s="56"/>
      <c r="F18" s="57"/>
      <c r="G18" s="57"/>
      <c r="H18" s="56"/>
      <c r="I18" s="56"/>
      <c r="J18" s="56"/>
      <c r="K18" s="66"/>
      <c r="L18" s="66"/>
      <c r="M18" s="55"/>
      <c r="N18" s="66"/>
      <c r="O18" s="73"/>
      <c r="P18" s="62" t="str">
        <f t="shared" si="1"/>
        <v>#DIV/0!</v>
      </c>
      <c r="Q18" s="62" t="str">
        <f t="shared" si="2"/>
        <v>#DIV/0!</v>
      </c>
      <c r="R18" s="65"/>
      <c r="S18" s="46" t="str">
        <f t="shared" si="3"/>
        <v>#DIV/0!</v>
      </c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46"/>
      <c r="AJ18" s="74"/>
      <c r="AK18" s="74"/>
      <c r="AL18" s="74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46"/>
      <c r="AZ18" s="46"/>
      <c r="BA18" s="2"/>
      <c r="BB18" s="61"/>
      <c r="BC18" s="77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7"/>
      <c r="BQ18" s="77"/>
      <c r="BR18" s="77"/>
      <c r="BS18" s="77"/>
      <c r="BT18" s="77"/>
      <c r="BU18" s="77"/>
      <c r="BV18" s="77"/>
      <c r="BW18" s="77"/>
      <c r="BX18" s="77"/>
      <c r="BY18" s="77"/>
      <c r="BZ18" s="77"/>
      <c r="CA18" s="77"/>
      <c r="CB18" s="77"/>
    </row>
    <row r="19">
      <c r="A19" s="54">
        <v>10.0</v>
      </c>
      <c r="B19" s="18" t="s">
        <v>33</v>
      </c>
      <c r="C19" s="18" t="s">
        <v>76</v>
      </c>
      <c r="D19" s="71"/>
      <c r="E19" s="56"/>
      <c r="F19" s="57"/>
      <c r="G19" s="57"/>
      <c r="H19" s="56"/>
      <c r="I19" s="56"/>
      <c r="J19" s="56"/>
      <c r="K19" s="66"/>
      <c r="L19" s="66"/>
      <c r="M19" s="55"/>
      <c r="N19" s="66"/>
      <c r="O19" s="73"/>
      <c r="P19" s="62" t="str">
        <f t="shared" si="1"/>
        <v>#DIV/0!</v>
      </c>
      <c r="Q19" s="62" t="str">
        <f t="shared" si="2"/>
        <v>#DIV/0!</v>
      </c>
      <c r="R19" s="65"/>
      <c r="S19" s="46" t="str">
        <f t="shared" si="3"/>
        <v>#DIV/0!</v>
      </c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46"/>
      <c r="AJ19" s="74"/>
      <c r="AK19" s="74"/>
      <c r="AL19" s="74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46"/>
      <c r="AZ19" s="46"/>
      <c r="BA19" s="2"/>
      <c r="BB19" s="61"/>
      <c r="BC19" s="77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7"/>
      <c r="BQ19" s="77"/>
      <c r="BR19" s="77"/>
      <c r="BS19" s="77"/>
      <c r="BT19" s="77"/>
      <c r="BU19" s="77"/>
      <c r="BV19" s="77"/>
      <c r="BW19" s="77"/>
      <c r="BX19" s="77"/>
      <c r="BY19" s="77"/>
      <c r="BZ19" s="77"/>
      <c r="CA19" s="77"/>
      <c r="CB19" s="77"/>
    </row>
    <row r="20">
      <c r="A20" s="54">
        <v>11.0</v>
      </c>
      <c r="B20" s="18" t="s">
        <v>34</v>
      </c>
      <c r="C20" s="18" t="s">
        <v>77</v>
      </c>
      <c r="D20" s="71"/>
      <c r="E20" s="56"/>
      <c r="F20" s="57"/>
      <c r="G20" s="57"/>
      <c r="H20" s="56"/>
      <c r="I20" s="56"/>
      <c r="J20" s="56"/>
      <c r="K20" s="66"/>
      <c r="L20" s="66"/>
      <c r="M20" s="55"/>
      <c r="N20" s="66"/>
      <c r="O20" s="73"/>
      <c r="P20" s="62" t="str">
        <f t="shared" si="1"/>
        <v>#DIV/0!</v>
      </c>
      <c r="Q20" s="62" t="str">
        <f t="shared" si="2"/>
        <v>#DIV/0!</v>
      </c>
      <c r="R20" s="65"/>
      <c r="S20" s="46" t="str">
        <f t="shared" si="3"/>
        <v>#DIV/0!</v>
      </c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46"/>
      <c r="AJ20" s="74"/>
      <c r="AK20" s="74"/>
      <c r="AL20" s="74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46"/>
      <c r="AZ20" s="46"/>
      <c r="BA20" s="2"/>
      <c r="BB20" s="61"/>
      <c r="BC20" s="77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7"/>
      <c r="BQ20" s="77"/>
      <c r="BR20" s="77"/>
      <c r="BS20" s="77"/>
      <c r="BT20" s="77"/>
      <c r="BU20" s="77"/>
      <c r="BV20" s="77"/>
      <c r="BW20" s="77"/>
      <c r="BX20" s="77"/>
      <c r="BY20" s="77"/>
      <c r="BZ20" s="77"/>
      <c r="CA20" s="77"/>
      <c r="CB20" s="77"/>
    </row>
    <row r="21">
      <c r="A21" s="54">
        <v>12.0</v>
      </c>
      <c r="B21" s="18" t="s">
        <v>35</v>
      </c>
      <c r="C21" s="18" t="s">
        <v>75</v>
      </c>
      <c r="D21" s="76"/>
      <c r="E21" s="56"/>
      <c r="F21" s="57"/>
      <c r="G21" s="57"/>
      <c r="H21" s="56"/>
      <c r="I21" s="56"/>
      <c r="J21" s="55"/>
      <c r="K21" s="66"/>
      <c r="L21" s="66"/>
      <c r="M21" s="72"/>
      <c r="N21" s="72"/>
      <c r="O21" s="67"/>
      <c r="P21" s="62" t="str">
        <f t="shared" si="1"/>
        <v>#DIV/0!</v>
      </c>
      <c r="Q21" s="62" t="str">
        <f t="shared" si="2"/>
        <v>#DIV/0!</v>
      </c>
      <c r="R21" s="65"/>
      <c r="S21" s="46" t="str">
        <f t="shared" si="3"/>
        <v>#DIV/0!</v>
      </c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46"/>
      <c r="AJ21" s="74"/>
      <c r="AK21" s="74"/>
      <c r="AL21" s="74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46"/>
      <c r="AZ21" s="46"/>
      <c r="BA21" s="2"/>
      <c r="BB21" s="61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77"/>
      <c r="BZ21" s="77"/>
      <c r="CA21" s="77"/>
      <c r="CB21" s="77"/>
    </row>
    <row r="22">
      <c r="A22" s="54"/>
      <c r="B22" s="18" t="s">
        <v>78</v>
      </c>
      <c r="C22" s="18"/>
      <c r="D22" s="76"/>
      <c r="E22" s="78"/>
      <c r="F22" s="55"/>
      <c r="G22" s="55"/>
      <c r="H22" s="78"/>
      <c r="I22" s="78"/>
      <c r="J22" s="76"/>
      <c r="K22" s="76"/>
      <c r="L22" s="76"/>
      <c r="M22" s="76"/>
      <c r="N22" s="76"/>
      <c r="O22" s="67"/>
      <c r="P22" s="79"/>
      <c r="Q22" s="79"/>
      <c r="R22" s="65"/>
      <c r="S22" s="46">
        <f t="shared" si="3"/>
        <v>0</v>
      </c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46"/>
      <c r="AJ22" s="80" t="s">
        <v>79</v>
      </c>
      <c r="AK22" s="80" t="s">
        <v>80</v>
      </c>
      <c r="AL22" s="80" t="s">
        <v>81</v>
      </c>
      <c r="AM22" s="80" t="s">
        <v>82</v>
      </c>
      <c r="AN22" s="80" t="s">
        <v>83</v>
      </c>
      <c r="AO22" s="80" t="s">
        <v>84</v>
      </c>
      <c r="AP22" s="80" t="s">
        <v>85</v>
      </c>
      <c r="AQ22" s="80" t="s">
        <v>86</v>
      </c>
      <c r="AR22" s="80" t="s">
        <v>87</v>
      </c>
      <c r="AS22" s="80" t="s">
        <v>88</v>
      </c>
      <c r="AT22" s="80" t="s">
        <v>89</v>
      </c>
      <c r="AU22" s="80" t="s">
        <v>90</v>
      </c>
      <c r="AV22" s="80"/>
      <c r="AW22" s="80"/>
      <c r="AX22" s="80"/>
      <c r="AY22" s="46"/>
      <c r="AZ22" s="46"/>
      <c r="BA22" s="2"/>
      <c r="BB22" s="82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</row>
    <row r="23">
      <c r="A23" s="54"/>
      <c r="B23" s="18"/>
      <c r="C23" s="18"/>
      <c r="D23" s="76"/>
      <c r="E23" s="55"/>
      <c r="F23" s="55"/>
      <c r="G23" s="55"/>
      <c r="H23" s="55"/>
      <c r="I23" s="55"/>
      <c r="J23" s="76"/>
      <c r="K23" s="76"/>
      <c r="L23" s="76"/>
      <c r="M23" s="76"/>
      <c r="N23" s="55"/>
      <c r="O23" s="67"/>
      <c r="P23" s="79"/>
      <c r="Q23" s="79"/>
      <c r="R23" s="65"/>
      <c r="S23" s="46">
        <f t="shared" si="3"/>
        <v>0</v>
      </c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46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46"/>
      <c r="AZ23" s="46"/>
      <c r="BA23" s="2"/>
      <c r="BB23" s="82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</row>
    <row r="24">
      <c r="A24" s="48" t="s">
        <v>91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81"/>
      <c r="P24" s="81"/>
      <c r="Q24" s="81"/>
      <c r="R24" s="81"/>
      <c r="S24" s="46">
        <f t="shared" si="3"/>
        <v>0</v>
      </c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46"/>
      <c r="AJ24" s="81" t="str">
        <f>AI25</f>
        <v>#DIV/0!</v>
      </c>
      <c r="AK24" s="81" t="str">
        <f>AI26</f>
        <v>#DIV/0!</v>
      </c>
      <c r="AL24" s="81" t="str">
        <f>AI27</f>
        <v>#DIV/0!</v>
      </c>
      <c r="AM24" s="81" t="str">
        <f>AI28</f>
        <v>#DIV/0!</v>
      </c>
      <c r="AN24" s="81" t="str">
        <f>AI29</f>
        <v>#DIV/0!</v>
      </c>
      <c r="AO24" s="81" t="str">
        <f>AI30</f>
        <v>#DIV/0!</v>
      </c>
      <c r="AP24" s="81" t="str">
        <f>AI31</f>
        <v>#DIV/0!</v>
      </c>
      <c r="AQ24" s="81" t="str">
        <f>AI32</f>
        <v>#DIV/0!</v>
      </c>
      <c r="AR24" s="81" t="str">
        <f>AI33</f>
        <v>#DIV/0!</v>
      </c>
      <c r="AS24" s="81" t="str">
        <f>AI34</f>
        <v>#DIV/0!</v>
      </c>
      <c r="AT24" s="81" t="str">
        <f>AI35</f>
        <v>#DIV/0!</v>
      </c>
      <c r="AU24" s="81" t="str">
        <f>AI36</f>
        <v>#DIV/0!</v>
      </c>
      <c r="AV24" s="81"/>
      <c r="AW24" s="81"/>
      <c r="AX24" s="81"/>
      <c r="AY24" s="46"/>
      <c r="AZ24" s="46"/>
      <c r="BA24" s="2"/>
      <c r="BB24" s="82"/>
      <c r="BC24" s="77"/>
      <c r="BD24" s="77"/>
      <c r="BE24" s="77"/>
      <c r="BF24" s="77"/>
      <c r="BG24" s="77"/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</row>
    <row r="25">
      <c r="A25" s="54">
        <v>1.0</v>
      </c>
      <c r="B25" s="18" t="s">
        <v>79</v>
      </c>
      <c r="C25" s="18" t="s">
        <v>92</v>
      </c>
      <c r="D25" s="76"/>
      <c r="E25" s="57"/>
      <c r="F25" s="57"/>
      <c r="G25" s="57"/>
      <c r="H25" s="57"/>
      <c r="I25" s="57"/>
      <c r="J25" s="55"/>
      <c r="K25" s="55"/>
      <c r="L25" s="55"/>
      <c r="M25" s="55"/>
      <c r="N25" s="55"/>
      <c r="O25" s="67"/>
      <c r="P25" s="62" t="str">
        <f t="shared" ref="P25:P37" si="5">ROUND((N25/$N$74*$P$75)/5,0)</f>
        <v>#DIV/0!</v>
      </c>
      <c r="Q25" s="62" t="str">
        <f t="shared" ref="Q25:Q37" si="6">ROUND((O25/$O$74*$Q$75)/40,0)</f>
        <v>#DIV/0!</v>
      </c>
      <c r="R25" s="65"/>
      <c r="S25" s="46" t="str">
        <f t="shared" si="3"/>
        <v>#DIV/0!</v>
      </c>
      <c r="T25" s="65" t="str">
        <f t="shared" ref="T25:AE25" si="4">($D25/$D$79)*T$9</f>
        <v>#DIV/0!</v>
      </c>
      <c r="U25" s="65" t="str">
        <f t="shared" si="4"/>
        <v>#DIV/0!</v>
      </c>
      <c r="V25" s="65" t="str">
        <f t="shared" si="4"/>
        <v>#DIV/0!</v>
      </c>
      <c r="W25" s="65" t="str">
        <f t="shared" si="4"/>
        <v>#DIV/0!</v>
      </c>
      <c r="X25" s="65" t="str">
        <f t="shared" si="4"/>
        <v>#DIV/0!</v>
      </c>
      <c r="Y25" s="65" t="str">
        <f t="shared" si="4"/>
        <v>#DIV/0!</v>
      </c>
      <c r="Z25" s="65" t="str">
        <f t="shared" si="4"/>
        <v>#DIV/0!</v>
      </c>
      <c r="AA25" s="65" t="str">
        <f t="shared" si="4"/>
        <v>#DIV/0!</v>
      </c>
      <c r="AB25" s="65" t="str">
        <f t="shared" si="4"/>
        <v>#DIV/0!</v>
      </c>
      <c r="AC25" s="65" t="str">
        <f t="shared" si="4"/>
        <v>#DIV/0!</v>
      </c>
      <c r="AD25" s="65" t="str">
        <f t="shared" si="4"/>
        <v>#DIV/0!</v>
      </c>
      <c r="AE25" s="65" t="str">
        <f t="shared" si="4"/>
        <v>#DIV/0!</v>
      </c>
      <c r="AF25" s="65"/>
      <c r="AG25" s="65"/>
      <c r="AH25" s="65"/>
      <c r="AI25" s="46" t="str">
        <f t="shared" ref="AI25:AI73" si="8">sum(S25:AH25)</f>
        <v>#DIV/0!</v>
      </c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45"/>
      <c r="AZ25" s="45"/>
      <c r="BA25" s="2"/>
      <c r="BB25" s="83"/>
      <c r="BC25" s="84"/>
      <c r="BD25" s="84"/>
      <c r="BE25" s="84"/>
      <c r="BF25" s="84"/>
      <c r="BG25" s="84"/>
      <c r="BH25" s="84"/>
      <c r="BI25" s="84"/>
      <c r="BJ25" s="84"/>
      <c r="BK25" s="84"/>
      <c r="BL25" s="84"/>
      <c r="BM25" s="84"/>
      <c r="BN25" s="84"/>
      <c r="BO25" s="84"/>
      <c r="BP25" s="84"/>
      <c r="BQ25" s="84"/>
      <c r="BR25" s="84"/>
      <c r="BS25" s="84"/>
      <c r="BT25" s="84"/>
      <c r="BU25" s="84"/>
      <c r="BV25" s="84"/>
      <c r="BW25" s="84"/>
      <c r="BX25" s="84"/>
      <c r="BY25" s="84"/>
      <c r="BZ25" s="84"/>
      <c r="CA25" s="84"/>
      <c r="CB25" s="84"/>
    </row>
    <row r="26">
      <c r="A26" s="54">
        <v>2.0</v>
      </c>
      <c r="B26" s="18" t="s">
        <v>80</v>
      </c>
      <c r="C26" s="18" t="s">
        <v>93</v>
      </c>
      <c r="D26" s="76"/>
      <c r="E26" s="57"/>
      <c r="F26" s="57"/>
      <c r="G26" s="55"/>
      <c r="H26" s="57"/>
      <c r="I26" s="57"/>
      <c r="J26" s="55"/>
      <c r="K26" s="55"/>
      <c r="L26" s="55"/>
      <c r="M26" s="55"/>
      <c r="N26" s="55"/>
      <c r="O26" s="67"/>
      <c r="P26" s="62" t="str">
        <f t="shared" si="5"/>
        <v>#DIV/0!</v>
      </c>
      <c r="Q26" s="62" t="str">
        <f t="shared" si="6"/>
        <v>#DIV/0!</v>
      </c>
      <c r="R26" s="65"/>
      <c r="S26" s="46" t="str">
        <f t="shared" si="3"/>
        <v>#DIV/0!</v>
      </c>
      <c r="T26" s="65" t="str">
        <f t="shared" ref="T26:AE26" si="7">($D26/$D$79)*T$9</f>
        <v>#DIV/0!</v>
      </c>
      <c r="U26" s="65" t="str">
        <f t="shared" si="7"/>
        <v>#DIV/0!</v>
      </c>
      <c r="V26" s="65" t="str">
        <f t="shared" si="7"/>
        <v>#DIV/0!</v>
      </c>
      <c r="W26" s="65" t="str">
        <f t="shared" si="7"/>
        <v>#DIV/0!</v>
      </c>
      <c r="X26" s="65" t="str">
        <f t="shared" si="7"/>
        <v>#DIV/0!</v>
      </c>
      <c r="Y26" s="65" t="str">
        <f t="shared" si="7"/>
        <v>#DIV/0!</v>
      </c>
      <c r="Z26" s="65" t="str">
        <f t="shared" si="7"/>
        <v>#DIV/0!</v>
      </c>
      <c r="AA26" s="65" t="str">
        <f t="shared" si="7"/>
        <v>#DIV/0!</v>
      </c>
      <c r="AB26" s="65" t="str">
        <f t="shared" si="7"/>
        <v>#DIV/0!</v>
      </c>
      <c r="AC26" s="65" t="str">
        <f t="shared" si="7"/>
        <v>#DIV/0!</v>
      </c>
      <c r="AD26" s="65" t="str">
        <f t="shared" si="7"/>
        <v>#DIV/0!</v>
      </c>
      <c r="AE26" s="65" t="str">
        <f t="shared" si="7"/>
        <v>#DIV/0!</v>
      </c>
      <c r="AF26" s="65"/>
      <c r="AG26" s="65"/>
      <c r="AH26" s="65"/>
      <c r="AI26" s="46" t="str">
        <f t="shared" si="8"/>
        <v>#DIV/0!</v>
      </c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45"/>
      <c r="AZ26" s="45"/>
      <c r="BA26" s="2"/>
      <c r="BB26" s="83"/>
      <c r="BC26" s="84"/>
      <c r="BD26" s="84"/>
      <c r="BE26" s="84"/>
      <c r="BF26" s="84"/>
      <c r="BG26" s="84"/>
      <c r="BH26" s="84"/>
      <c r="BI26" s="84"/>
      <c r="BJ26" s="84"/>
      <c r="BK26" s="84"/>
      <c r="BL26" s="84"/>
      <c r="BM26" s="84"/>
      <c r="BN26" s="84"/>
      <c r="BO26" s="84"/>
      <c r="BP26" s="84"/>
      <c r="BQ26" s="84"/>
      <c r="BR26" s="84"/>
      <c r="BS26" s="84"/>
      <c r="BT26" s="84"/>
      <c r="BU26" s="84"/>
      <c r="BV26" s="84"/>
      <c r="BW26" s="84"/>
      <c r="BX26" s="84"/>
      <c r="BY26" s="84"/>
      <c r="BZ26" s="84"/>
      <c r="CA26" s="84"/>
      <c r="CB26" s="84"/>
    </row>
    <row r="27">
      <c r="A27" s="54">
        <v>3.0</v>
      </c>
      <c r="B27" s="18" t="s">
        <v>81</v>
      </c>
      <c r="C27" s="18" t="s">
        <v>94</v>
      </c>
      <c r="D27" s="76"/>
      <c r="E27" s="57"/>
      <c r="F27" s="57"/>
      <c r="G27" s="55"/>
      <c r="H27" s="57"/>
      <c r="I27" s="57"/>
      <c r="J27" s="55"/>
      <c r="K27" s="55"/>
      <c r="L27" s="55"/>
      <c r="M27" s="55"/>
      <c r="N27" s="55"/>
      <c r="O27" s="67"/>
      <c r="P27" s="62" t="str">
        <f t="shared" si="5"/>
        <v>#DIV/0!</v>
      </c>
      <c r="Q27" s="62" t="str">
        <f t="shared" si="6"/>
        <v>#DIV/0!</v>
      </c>
      <c r="R27" s="65"/>
      <c r="S27" s="46" t="str">
        <f t="shared" si="3"/>
        <v>#DIV/0!</v>
      </c>
      <c r="T27" s="65" t="str">
        <f t="shared" ref="T27:AE27" si="9">($D27/$D$79)*T$9</f>
        <v>#DIV/0!</v>
      </c>
      <c r="U27" s="65" t="str">
        <f t="shared" si="9"/>
        <v>#DIV/0!</v>
      </c>
      <c r="V27" s="65" t="str">
        <f t="shared" si="9"/>
        <v>#DIV/0!</v>
      </c>
      <c r="W27" s="65" t="str">
        <f t="shared" si="9"/>
        <v>#DIV/0!</v>
      </c>
      <c r="X27" s="65" t="str">
        <f t="shared" si="9"/>
        <v>#DIV/0!</v>
      </c>
      <c r="Y27" s="65" t="str">
        <f t="shared" si="9"/>
        <v>#DIV/0!</v>
      </c>
      <c r="Z27" s="65" t="str">
        <f t="shared" si="9"/>
        <v>#DIV/0!</v>
      </c>
      <c r="AA27" s="65" t="str">
        <f t="shared" si="9"/>
        <v>#DIV/0!</v>
      </c>
      <c r="AB27" s="65" t="str">
        <f t="shared" si="9"/>
        <v>#DIV/0!</v>
      </c>
      <c r="AC27" s="65" t="str">
        <f t="shared" si="9"/>
        <v>#DIV/0!</v>
      </c>
      <c r="AD27" s="65" t="str">
        <f t="shared" si="9"/>
        <v>#DIV/0!</v>
      </c>
      <c r="AE27" s="65" t="str">
        <f t="shared" si="9"/>
        <v>#DIV/0!</v>
      </c>
      <c r="AF27" s="65"/>
      <c r="AG27" s="65"/>
      <c r="AH27" s="65"/>
      <c r="AI27" s="46" t="str">
        <f t="shared" si="8"/>
        <v>#DIV/0!</v>
      </c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45"/>
      <c r="AZ27" s="45"/>
      <c r="BA27" s="2"/>
      <c r="BB27" s="83"/>
      <c r="BC27" s="84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84"/>
      <c r="BQ27" s="84"/>
      <c r="BR27" s="84"/>
      <c r="BS27" s="84"/>
      <c r="BT27" s="84"/>
      <c r="BU27" s="84"/>
      <c r="BV27" s="84"/>
      <c r="BW27" s="84"/>
      <c r="BX27" s="84"/>
      <c r="BY27" s="84"/>
      <c r="BZ27" s="84"/>
      <c r="CA27" s="84"/>
      <c r="CB27" s="84"/>
    </row>
    <row r="28">
      <c r="A28" s="54">
        <v>4.0</v>
      </c>
      <c r="B28" s="18" t="s">
        <v>82</v>
      </c>
      <c r="C28" s="18" t="s">
        <v>95</v>
      </c>
      <c r="D28" s="76"/>
      <c r="E28" s="57"/>
      <c r="F28" s="57"/>
      <c r="G28" s="55"/>
      <c r="H28" s="57"/>
      <c r="I28" s="57"/>
      <c r="J28" s="55"/>
      <c r="K28" s="55"/>
      <c r="L28" s="55"/>
      <c r="M28" s="55"/>
      <c r="N28" s="55"/>
      <c r="O28" s="67"/>
      <c r="P28" s="62" t="str">
        <f t="shared" si="5"/>
        <v>#DIV/0!</v>
      </c>
      <c r="Q28" s="62" t="str">
        <f t="shared" si="6"/>
        <v>#DIV/0!</v>
      </c>
      <c r="R28" s="65"/>
      <c r="S28" s="46" t="str">
        <f t="shared" si="3"/>
        <v>#DIV/0!</v>
      </c>
      <c r="T28" s="65" t="str">
        <f t="shared" ref="T28:AE28" si="10">($D28/$D$79)*T$9</f>
        <v>#DIV/0!</v>
      </c>
      <c r="U28" s="65" t="str">
        <f t="shared" si="10"/>
        <v>#DIV/0!</v>
      </c>
      <c r="V28" s="65" t="str">
        <f t="shared" si="10"/>
        <v>#DIV/0!</v>
      </c>
      <c r="W28" s="65" t="str">
        <f t="shared" si="10"/>
        <v>#DIV/0!</v>
      </c>
      <c r="X28" s="65" t="str">
        <f t="shared" si="10"/>
        <v>#DIV/0!</v>
      </c>
      <c r="Y28" s="65" t="str">
        <f t="shared" si="10"/>
        <v>#DIV/0!</v>
      </c>
      <c r="Z28" s="65" t="str">
        <f t="shared" si="10"/>
        <v>#DIV/0!</v>
      </c>
      <c r="AA28" s="65" t="str">
        <f t="shared" si="10"/>
        <v>#DIV/0!</v>
      </c>
      <c r="AB28" s="65" t="str">
        <f t="shared" si="10"/>
        <v>#DIV/0!</v>
      </c>
      <c r="AC28" s="65" t="str">
        <f t="shared" si="10"/>
        <v>#DIV/0!</v>
      </c>
      <c r="AD28" s="65" t="str">
        <f t="shared" si="10"/>
        <v>#DIV/0!</v>
      </c>
      <c r="AE28" s="65" t="str">
        <f t="shared" si="10"/>
        <v>#DIV/0!</v>
      </c>
      <c r="AF28" s="65"/>
      <c r="AG28" s="65"/>
      <c r="AH28" s="65"/>
      <c r="AI28" s="46" t="str">
        <f t="shared" si="8"/>
        <v>#DIV/0!</v>
      </c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46"/>
      <c r="AZ28" s="45"/>
      <c r="BA28" s="2"/>
      <c r="BB28" s="83"/>
      <c r="BC28" s="84"/>
      <c r="BD28" s="84"/>
      <c r="BE28" s="84"/>
      <c r="BF28" s="84"/>
      <c r="BG28" s="84"/>
      <c r="BH28" s="84"/>
      <c r="BI28" s="84"/>
      <c r="BJ28" s="84"/>
      <c r="BK28" s="84"/>
      <c r="BL28" s="84"/>
      <c r="BM28" s="84"/>
      <c r="BN28" s="84"/>
      <c r="BO28" s="84"/>
      <c r="BP28" s="84"/>
      <c r="BQ28" s="84"/>
      <c r="BR28" s="84"/>
      <c r="BS28" s="84"/>
      <c r="BT28" s="84"/>
      <c r="BU28" s="84"/>
      <c r="BV28" s="84"/>
      <c r="BW28" s="84"/>
      <c r="BX28" s="84"/>
      <c r="BY28" s="84"/>
      <c r="BZ28" s="84"/>
      <c r="CA28" s="84"/>
      <c r="CB28" s="84"/>
    </row>
    <row r="29">
      <c r="A29" s="54">
        <v>5.0</v>
      </c>
      <c r="B29" s="18" t="s">
        <v>83</v>
      </c>
      <c r="C29" s="18" t="s">
        <v>96</v>
      </c>
      <c r="D29" s="76"/>
      <c r="E29" s="57"/>
      <c r="F29" s="57"/>
      <c r="G29" s="55"/>
      <c r="H29" s="57"/>
      <c r="I29" s="57"/>
      <c r="J29" s="55"/>
      <c r="K29" s="55"/>
      <c r="L29" s="55"/>
      <c r="M29" s="55"/>
      <c r="N29" s="55"/>
      <c r="O29" s="67"/>
      <c r="P29" s="62" t="str">
        <f t="shared" si="5"/>
        <v>#DIV/0!</v>
      </c>
      <c r="Q29" s="62" t="str">
        <f t="shared" si="6"/>
        <v>#DIV/0!</v>
      </c>
      <c r="R29" s="65"/>
      <c r="S29" s="46" t="str">
        <f t="shared" si="3"/>
        <v>#DIV/0!</v>
      </c>
      <c r="T29" s="65" t="str">
        <f t="shared" ref="T29:AE29" si="11">($D29/$D$79)*T$9</f>
        <v>#DIV/0!</v>
      </c>
      <c r="U29" s="65" t="str">
        <f t="shared" si="11"/>
        <v>#DIV/0!</v>
      </c>
      <c r="V29" s="65" t="str">
        <f t="shared" si="11"/>
        <v>#DIV/0!</v>
      </c>
      <c r="W29" s="65" t="str">
        <f t="shared" si="11"/>
        <v>#DIV/0!</v>
      </c>
      <c r="X29" s="65" t="str">
        <f t="shared" si="11"/>
        <v>#DIV/0!</v>
      </c>
      <c r="Y29" s="65" t="str">
        <f t="shared" si="11"/>
        <v>#DIV/0!</v>
      </c>
      <c r="Z29" s="65" t="str">
        <f t="shared" si="11"/>
        <v>#DIV/0!</v>
      </c>
      <c r="AA29" s="65" t="str">
        <f t="shared" si="11"/>
        <v>#DIV/0!</v>
      </c>
      <c r="AB29" s="65" t="str">
        <f t="shared" si="11"/>
        <v>#DIV/0!</v>
      </c>
      <c r="AC29" s="65" t="str">
        <f t="shared" si="11"/>
        <v>#DIV/0!</v>
      </c>
      <c r="AD29" s="65" t="str">
        <f t="shared" si="11"/>
        <v>#DIV/0!</v>
      </c>
      <c r="AE29" s="65" t="str">
        <f t="shared" si="11"/>
        <v>#DIV/0!</v>
      </c>
      <c r="AF29" s="65"/>
      <c r="AG29" s="65"/>
      <c r="AH29" s="65"/>
      <c r="AI29" s="46" t="str">
        <f t="shared" si="8"/>
        <v>#DIV/0!</v>
      </c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45"/>
      <c r="AZ29" s="46"/>
      <c r="BA29" s="2"/>
      <c r="BB29" s="82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</row>
    <row r="30">
      <c r="A30" s="54">
        <v>6.0</v>
      </c>
      <c r="B30" s="18" t="s">
        <v>84</v>
      </c>
      <c r="C30" s="18" t="s">
        <v>97</v>
      </c>
      <c r="D30" s="76"/>
      <c r="E30" s="57"/>
      <c r="F30" s="57"/>
      <c r="G30" s="55"/>
      <c r="H30" s="57"/>
      <c r="I30" s="57"/>
      <c r="J30" s="55"/>
      <c r="K30" s="55"/>
      <c r="L30" s="55"/>
      <c r="M30" s="55"/>
      <c r="N30" s="55"/>
      <c r="O30" s="67"/>
      <c r="P30" s="62" t="str">
        <f t="shared" si="5"/>
        <v>#DIV/0!</v>
      </c>
      <c r="Q30" s="62" t="str">
        <f t="shared" si="6"/>
        <v>#DIV/0!</v>
      </c>
      <c r="R30" s="65"/>
      <c r="S30" s="46" t="str">
        <f t="shared" si="3"/>
        <v>#DIV/0!</v>
      </c>
      <c r="T30" s="65" t="str">
        <f t="shared" ref="T30:AE30" si="12">($D30/$D$79)*T$9</f>
        <v>#DIV/0!</v>
      </c>
      <c r="U30" s="65" t="str">
        <f t="shared" si="12"/>
        <v>#DIV/0!</v>
      </c>
      <c r="V30" s="65" t="str">
        <f t="shared" si="12"/>
        <v>#DIV/0!</v>
      </c>
      <c r="W30" s="65" t="str">
        <f t="shared" si="12"/>
        <v>#DIV/0!</v>
      </c>
      <c r="X30" s="65" t="str">
        <f t="shared" si="12"/>
        <v>#DIV/0!</v>
      </c>
      <c r="Y30" s="65" t="str">
        <f t="shared" si="12"/>
        <v>#DIV/0!</v>
      </c>
      <c r="Z30" s="65" t="str">
        <f t="shared" si="12"/>
        <v>#DIV/0!</v>
      </c>
      <c r="AA30" s="65" t="str">
        <f t="shared" si="12"/>
        <v>#DIV/0!</v>
      </c>
      <c r="AB30" s="65" t="str">
        <f t="shared" si="12"/>
        <v>#DIV/0!</v>
      </c>
      <c r="AC30" s="65" t="str">
        <f t="shared" si="12"/>
        <v>#DIV/0!</v>
      </c>
      <c r="AD30" s="65" t="str">
        <f t="shared" si="12"/>
        <v>#DIV/0!</v>
      </c>
      <c r="AE30" s="65" t="str">
        <f t="shared" si="12"/>
        <v>#DIV/0!</v>
      </c>
      <c r="AF30" s="65"/>
      <c r="AG30" s="65"/>
      <c r="AH30" s="65"/>
      <c r="AI30" s="46" t="str">
        <f t="shared" si="8"/>
        <v>#DIV/0!</v>
      </c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45"/>
      <c r="AZ30" s="46"/>
      <c r="BA30" s="2"/>
      <c r="BB30" s="82"/>
      <c r="BC30" s="77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</row>
    <row r="31">
      <c r="A31" s="54">
        <v>7.0</v>
      </c>
      <c r="B31" s="18" t="s">
        <v>85</v>
      </c>
      <c r="C31" s="68" t="s">
        <v>98</v>
      </c>
      <c r="D31" s="55"/>
      <c r="E31" s="55"/>
      <c r="F31" s="57"/>
      <c r="G31" s="57"/>
      <c r="H31" s="57"/>
      <c r="I31" s="57"/>
      <c r="J31" s="55"/>
      <c r="K31" s="55"/>
      <c r="L31" s="55"/>
      <c r="M31" s="55"/>
      <c r="N31" s="55"/>
      <c r="O31" s="67"/>
      <c r="P31" s="62" t="str">
        <f t="shared" si="5"/>
        <v>#DIV/0!</v>
      </c>
      <c r="Q31" s="62" t="str">
        <f t="shared" si="6"/>
        <v>#DIV/0!</v>
      </c>
      <c r="R31" s="65"/>
      <c r="S31" s="46" t="str">
        <f t="shared" si="3"/>
        <v>#DIV/0!</v>
      </c>
      <c r="T31" s="65" t="str">
        <f t="shared" ref="T31:AE31" si="13">($D31/$D$79)*T$9</f>
        <v>#DIV/0!</v>
      </c>
      <c r="U31" s="65" t="str">
        <f t="shared" si="13"/>
        <v>#DIV/0!</v>
      </c>
      <c r="V31" s="65" t="str">
        <f t="shared" si="13"/>
        <v>#DIV/0!</v>
      </c>
      <c r="W31" s="65" t="str">
        <f t="shared" si="13"/>
        <v>#DIV/0!</v>
      </c>
      <c r="X31" s="65" t="str">
        <f t="shared" si="13"/>
        <v>#DIV/0!</v>
      </c>
      <c r="Y31" s="65" t="str">
        <f t="shared" si="13"/>
        <v>#DIV/0!</v>
      </c>
      <c r="Z31" s="65" t="str">
        <f t="shared" si="13"/>
        <v>#DIV/0!</v>
      </c>
      <c r="AA31" s="65" t="str">
        <f t="shared" si="13"/>
        <v>#DIV/0!</v>
      </c>
      <c r="AB31" s="65" t="str">
        <f t="shared" si="13"/>
        <v>#DIV/0!</v>
      </c>
      <c r="AC31" s="65" t="str">
        <f t="shared" si="13"/>
        <v>#DIV/0!</v>
      </c>
      <c r="AD31" s="65" t="str">
        <f t="shared" si="13"/>
        <v>#DIV/0!</v>
      </c>
      <c r="AE31" s="65" t="str">
        <f t="shared" si="13"/>
        <v>#DIV/0!</v>
      </c>
      <c r="AF31" s="65"/>
      <c r="AG31" s="65"/>
      <c r="AH31" s="65"/>
      <c r="AI31" s="46" t="str">
        <f t="shared" si="8"/>
        <v>#DIV/0!</v>
      </c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45"/>
      <c r="AZ31" s="46"/>
      <c r="BA31" s="2"/>
      <c r="BB31" s="82"/>
      <c r="BC31" s="77"/>
      <c r="BD31" s="77"/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77"/>
      <c r="BQ31" s="77"/>
      <c r="BR31" s="77"/>
      <c r="BS31" s="77"/>
      <c r="BT31" s="77"/>
      <c r="BU31" s="77"/>
      <c r="BV31" s="77"/>
      <c r="BW31" s="77"/>
      <c r="BX31" s="77"/>
      <c r="BY31" s="77"/>
      <c r="BZ31" s="77"/>
      <c r="CA31" s="77"/>
      <c r="CB31" s="77"/>
    </row>
    <row r="32">
      <c r="A32" s="54">
        <v>8.0</v>
      </c>
      <c r="B32" s="18" t="s">
        <v>86</v>
      </c>
      <c r="C32" s="68" t="s">
        <v>98</v>
      </c>
      <c r="D32" s="55"/>
      <c r="E32" s="55"/>
      <c r="F32" s="57"/>
      <c r="G32" s="57"/>
      <c r="H32" s="57"/>
      <c r="I32" s="57"/>
      <c r="J32" s="55"/>
      <c r="K32" s="55"/>
      <c r="L32" s="55"/>
      <c r="M32" s="55"/>
      <c r="N32" s="55"/>
      <c r="O32" s="67"/>
      <c r="P32" s="62" t="str">
        <f t="shared" si="5"/>
        <v>#DIV/0!</v>
      </c>
      <c r="Q32" s="62" t="str">
        <f t="shared" si="6"/>
        <v>#DIV/0!</v>
      </c>
      <c r="R32" s="65"/>
      <c r="S32" s="46" t="str">
        <f t="shared" si="3"/>
        <v>#DIV/0!</v>
      </c>
      <c r="T32" s="65" t="str">
        <f t="shared" ref="T32:AE32" si="14">($D32/$D$79)*T$9</f>
        <v>#DIV/0!</v>
      </c>
      <c r="U32" s="65" t="str">
        <f t="shared" si="14"/>
        <v>#DIV/0!</v>
      </c>
      <c r="V32" s="65" t="str">
        <f t="shared" si="14"/>
        <v>#DIV/0!</v>
      </c>
      <c r="W32" s="65" t="str">
        <f t="shared" si="14"/>
        <v>#DIV/0!</v>
      </c>
      <c r="X32" s="65" t="str">
        <f t="shared" si="14"/>
        <v>#DIV/0!</v>
      </c>
      <c r="Y32" s="65" t="str">
        <f t="shared" si="14"/>
        <v>#DIV/0!</v>
      </c>
      <c r="Z32" s="65" t="str">
        <f t="shared" si="14"/>
        <v>#DIV/0!</v>
      </c>
      <c r="AA32" s="65" t="str">
        <f t="shared" si="14"/>
        <v>#DIV/0!</v>
      </c>
      <c r="AB32" s="65" t="str">
        <f t="shared" si="14"/>
        <v>#DIV/0!</v>
      </c>
      <c r="AC32" s="65" t="str">
        <f t="shared" si="14"/>
        <v>#DIV/0!</v>
      </c>
      <c r="AD32" s="65" t="str">
        <f t="shared" si="14"/>
        <v>#DIV/0!</v>
      </c>
      <c r="AE32" s="65" t="str">
        <f t="shared" si="14"/>
        <v>#DIV/0!</v>
      </c>
      <c r="AF32" s="65"/>
      <c r="AG32" s="65"/>
      <c r="AH32" s="65"/>
      <c r="AI32" s="46" t="str">
        <f t="shared" si="8"/>
        <v>#DIV/0!</v>
      </c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45"/>
      <c r="AZ32" s="46"/>
      <c r="BA32" s="2"/>
      <c r="BB32" s="82"/>
      <c r="BC32" s="77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77"/>
      <c r="BQ32" s="77"/>
      <c r="BR32" s="77"/>
      <c r="BS32" s="77"/>
      <c r="BT32" s="77"/>
      <c r="BU32" s="77"/>
      <c r="BV32" s="77"/>
      <c r="BW32" s="77"/>
      <c r="BX32" s="77"/>
      <c r="BY32" s="77"/>
      <c r="BZ32" s="77"/>
      <c r="CA32" s="77"/>
      <c r="CB32" s="77"/>
    </row>
    <row r="33">
      <c r="A33" s="54">
        <v>9.0</v>
      </c>
      <c r="B33" s="18" t="s">
        <v>87</v>
      </c>
      <c r="C33" s="68" t="s">
        <v>99</v>
      </c>
      <c r="D33" s="55"/>
      <c r="E33" s="57"/>
      <c r="F33" s="57"/>
      <c r="G33" s="57"/>
      <c r="H33" s="57"/>
      <c r="I33" s="57"/>
      <c r="J33" s="55"/>
      <c r="K33" s="55"/>
      <c r="L33" s="55"/>
      <c r="M33" s="55"/>
      <c r="N33" s="55"/>
      <c r="O33" s="67"/>
      <c r="P33" s="62" t="str">
        <f t="shared" si="5"/>
        <v>#DIV/0!</v>
      </c>
      <c r="Q33" s="62" t="str">
        <f t="shared" si="6"/>
        <v>#DIV/0!</v>
      </c>
      <c r="R33" s="65"/>
      <c r="S33" s="46" t="str">
        <f t="shared" si="3"/>
        <v>#DIV/0!</v>
      </c>
      <c r="T33" s="65" t="str">
        <f t="shared" ref="T33:AE33" si="15">($D33/$D$79)*T$9</f>
        <v>#DIV/0!</v>
      </c>
      <c r="U33" s="65" t="str">
        <f t="shared" si="15"/>
        <v>#DIV/0!</v>
      </c>
      <c r="V33" s="65" t="str">
        <f t="shared" si="15"/>
        <v>#DIV/0!</v>
      </c>
      <c r="W33" s="65" t="str">
        <f t="shared" si="15"/>
        <v>#DIV/0!</v>
      </c>
      <c r="X33" s="65" t="str">
        <f t="shared" si="15"/>
        <v>#DIV/0!</v>
      </c>
      <c r="Y33" s="65" t="str">
        <f t="shared" si="15"/>
        <v>#DIV/0!</v>
      </c>
      <c r="Z33" s="65" t="str">
        <f t="shared" si="15"/>
        <v>#DIV/0!</v>
      </c>
      <c r="AA33" s="65" t="str">
        <f t="shared" si="15"/>
        <v>#DIV/0!</v>
      </c>
      <c r="AB33" s="65" t="str">
        <f t="shared" si="15"/>
        <v>#DIV/0!</v>
      </c>
      <c r="AC33" s="65" t="str">
        <f t="shared" si="15"/>
        <v>#DIV/0!</v>
      </c>
      <c r="AD33" s="65" t="str">
        <f t="shared" si="15"/>
        <v>#DIV/0!</v>
      </c>
      <c r="AE33" s="65" t="str">
        <f t="shared" si="15"/>
        <v>#DIV/0!</v>
      </c>
      <c r="AF33" s="65"/>
      <c r="AG33" s="65"/>
      <c r="AH33" s="65"/>
      <c r="AI33" s="46" t="str">
        <f t="shared" si="8"/>
        <v>#DIV/0!</v>
      </c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45"/>
      <c r="AZ33" s="46"/>
      <c r="BA33" s="2"/>
      <c r="BB33" s="82"/>
      <c r="BC33" s="77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7"/>
      <c r="BQ33" s="77"/>
      <c r="BR33" s="77"/>
      <c r="BS33" s="77"/>
      <c r="BT33" s="77"/>
      <c r="BU33" s="77"/>
      <c r="BV33" s="77"/>
      <c r="BW33" s="77"/>
      <c r="BX33" s="77"/>
      <c r="BY33" s="77"/>
      <c r="BZ33" s="77"/>
      <c r="CA33" s="77"/>
      <c r="CB33" s="77"/>
    </row>
    <row r="34">
      <c r="A34" s="54">
        <v>10.0</v>
      </c>
      <c r="B34" s="18" t="s">
        <v>88</v>
      </c>
      <c r="C34" s="18" t="s">
        <v>74</v>
      </c>
      <c r="D34" s="76"/>
      <c r="E34" s="57"/>
      <c r="F34" s="57"/>
      <c r="G34" s="57"/>
      <c r="H34" s="57"/>
      <c r="I34" s="57"/>
      <c r="J34" s="55"/>
      <c r="K34" s="55"/>
      <c r="L34" s="55"/>
      <c r="M34" s="55"/>
      <c r="N34" s="55"/>
      <c r="O34" s="67"/>
      <c r="P34" s="62" t="str">
        <f t="shared" si="5"/>
        <v>#DIV/0!</v>
      </c>
      <c r="Q34" s="62" t="str">
        <f t="shared" si="6"/>
        <v>#DIV/0!</v>
      </c>
      <c r="R34" s="65"/>
      <c r="S34" s="46" t="str">
        <f t="shared" si="3"/>
        <v>#DIV/0!</v>
      </c>
      <c r="T34" s="65" t="str">
        <f t="shared" ref="T34:AE34" si="16">($D34/$D$79)*T$9</f>
        <v>#DIV/0!</v>
      </c>
      <c r="U34" s="65" t="str">
        <f t="shared" si="16"/>
        <v>#DIV/0!</v>
      </c>
      <c r="V34" s="65" t="str">
        <f t="shared" si="16"/>
        <v>#DIV/0!</v>
      </c>
      <c r="W34" s="65" t="str">
        <f t="shared" si="16"/>
        <v>#DIV/0!</v>
      </c>
      <c r="X34" s="65" t="str">
        <f t="shared" si="16"/>
        <v>#DIV/0!</v>
      </c>
      <c r="Y34" s="65" t="str">
        <f t="shared" si="16"/>
        <v>#DIV/0!</v>
      </c>
      <c r="Z34" s="65" t="str">
        <f t="shared" si="16"/>
        <v>#DIV/0!</v>
      </c>
      <c r="AA34" s="65" t="str">
        <f t="shared" si="16"/>
        <v>#DIV/0!</v>
      </c>
      <c r="AB34" s="65" t="str">
        <f t="shared" si="16"/>
        <v>#DIV/0!</v>
      </c>
      <c r="AC34" s="65" t="str">
        <f t="shared" si="16"/>
        <v>#DIV/0!</v>
      </c>
      <c r="AD34" s="65" t="str">
        <f t="shared" si="16"/>
        <v>#DIV/0!</v>
      </c>
      <c r="AE34" s="65" t="str">
        <f t="shared" si="16"/>
        <v>#DIV/0!</v>
      </c>
      <c r="AF34" s="65"/>
      <c r="AG34" s="65"/>
      <c r="AH34" s="65"/>
      <c r="AI34" s="46" t="str">
        <f t="shared" si="8"/>
        <v>#DIV/0!</v>
      </c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45"/>
      <c r="AZ34" s="46"/>
      <c r="BA34" s="2"/>
      <c r="BB34" s="82"/>
      <c r="BC34" s="77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77"/>
      <c r="BX34" s="77"/>
      <c r="BY34" s="77"/>
      <c r="BZ34" s="77"/>
      <c r="CA34" s="77"/>
      <c r="CB34" s="77"/>
    </row>
    <row r="35">
      <c r="A35" s="54">
        <v>11.0</v>
      </c>
      <c r="B35" s="18" t="s">
        <v>89</v>
      </c>
      <c r="C35" s="18" t="s">
        <v>100</v>
      </c>
      <c r="D35" s="76"/>
      <c r="E35" s="57"/>
      <c r="F35" s="57"/>
      <c r="G35" s="57"/>
      <c r="H35" s="57"/>
      <c r="I35" s="57"/>
      <c r="J35" s="55"/>
      <c r="K35" s="55"/>
      <c r="L35" s="55"/>
      <c r="M35" s="55"/>
      <c r="N35" s="55"/>
      <c r="O35" s="67"/>
      <c r="P35" s="62" t="str">
        <f t="shared" si="5"/>
        <v>#DIV/0!</v>
      </c>
      <c r="Q35" s="62" t="str">
        <f t="shared" si="6"/>
        <v>#DIV/0!</v>
      </c>
      <c r="R35" s="65"/>
      <c r="S35" s="46" t="str">
        <f t="shared" si="3"/>
        <v>#DIV/0!</v>
      </c>
      <c r="T35" s="65" t="str">
        <f t="shared" ref="T35:AE35" si="17">($D35/$D$79)*T$9</f>
        <v>#DIV/0!</v>
      </c>
      <c r="U35" s="65" t="str">
        <f t="shared" si="17"/>
        <v>#DIV/0!</v>
      </c>
      <c r="V35" s="65" t="str">
        <f t="shared" si="17"/>
        <v>#DIV/0!</v>
      </c>
      <c r="W35" s="65" t="str">
        <f t="shared" si="17"/>
        <v>#DIV/0!</v>
      </c>
      <c r="X35" s="65" t="str">
        <f t="shared" si="17"/>
        <v>#DIV/0!</v>
      </c>
      <c r="Y35" s="65" t="str">
        <f t="shared" si="17"/>
        <v>#DIV/0!</v>
      </c>
      <c r="Z35" s="65" t="str">
        <f t="shared" si="17"/>
        <v>#DIV/0!</v>
      </c>
      <c r="AA35" s="65" t="str">
        <f t="shared" si="17"/>
        <v>#DIV/0!</v>
      </c>
      <c r="AB35" s="65" t="str">
        <f t="shared" si="17"/>
        <v>#DIV/0!</v>
      </c>
      <c r="AC35" s="65" t="str">
        <f t="shared" si="17"/>
        <v>#DIV/0!</v>
      </c>
      <c r="AD35" s="65" t="str">
        <f t="shared" si="17"/>
        <v>#DIV/0!</v>
      </c>
      <c r="AE35" s="65" t="str">
        <f t="shared" si="17"/>
        <v>#DIV/0!</v>
      </c>
      <c r="AF35" s="65"/>
      <c r="AG35" s="65"/>
      <c r="AH35" s="65"/>
      <c r="AI35" s="46" t="str">
        <f t="shared" si="8"/>
        <v>#DIV/0!</v>
      </c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45"/>
      <c r="AZ35" s="46"/>
      <c r="BA35" s="2"/>
      <c r="BB35" s="82"/>
      <c r="BC35" s="77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7"/>
      <c r="BQ35" s="77"/>
      <c r="BR35" s="77"/>
      <c r="BS35" s="77"/>
      <c r="BT35" s="77"/>
      <c r="BU35" s="77"/>
      <c r="BV35" s="77"/>
      <c r="BW35" s="77"/>
      <c r="BX35" s="77"/>
      <c r="BY35" s="77"/>
      <c r="BZ35" s="77"/>
      <c r="CA35" s="77"/>
      <c r="CB35" s="77"/>
    </row>
    <row r="36">
      <c r="A36" s="54">
        <v>12.0</v>
      </c>
      <c r="B36" s="18" t="s">
        <v>90</v>
      </c>
      <c r="C36" s="18" t="s">
        <v>101</v>
      </c>
      <c r="D36" s="76"/>
      <c r="E36" s="57"/>
      <c r="F36" s="57"/>
      <c r="G36" s="57"/>
      <c r="H36" s="57"/>
      <c r="I36" s="57"/>
      <c r="J36" s="55"/>
      <c r="K36" s="55"/>
      <c r="L36" s="55"/>
      <c r="M36" s="55"/>
      <c r="N36" s="55"/>
      <c r="O36" s="67"/>
      <c r="P36" s="62" t="str">
        <f t="shared" si="5"/>
        <v>#DIV/0!</v>
      </c>
      <c r="Q36" s="62" t="str">
        <f t="shared" si="6"/>
        <v>#DIV/0!</v>
      </c>
      <c r="R36" s="65"/>
      <c r="S36" s="46" t="str">
        <f t="shared" si="3"/>
        <v>#DIV/0!</v>
      </c>
      <c r="T36" s="65" t="str">
        <f t="shared" ref="T36:AE36" si="18">($D36/$D$79)*T$9</f>
        <v>#DIV/0!</v>
      </c>
      <c r="U36" s="65" t="str">
        <f t="shared" si="18"/>
        <v>#DIV/0!</v>
      </c>
      <c r="V36" s="65" t="str">
        <f t="shared" si="18"/>
        <v>#DIV/0!</v>
      </c>
      <c r="W36" s="65" t="str">
        <f t="shared" si="18"/>
        <v>#DIV/0!</v>
      </c>
      <c r="X36" s="65" t="str">
        <f t="shared" si="18"/>
        <v>#DIV/0!</v>
      </c>
      <c r="Y36" s="65" t="str">
        <f t="shared" si="18"/>
        <v>#DIV/0!</v>
      </c>
      <c r="Z36" s="65" t="str">
        <f t="shared" si="18"/>
        <v>#DIV/0!</v>
      </c>
      <c r="AA36" s="65" t="str">
        <f t="shared" si="18"/>
        <v>#DIV/0!</v>
      </c>
      <c r="AB36" s="65" t="str">
        <f t="shared" si="18"/>
        <v>#DIV/0!</v>
      </c>
      <c r="AC36" s="65" t="str">
        <f t="shared" si="18"/>
        <v>#DIV/0!</v>
      </c>
      <c r="AD36" s="65" t="str">
        <f t="shared" si="18"/>
        <v>#DIV/0!</v>
      </c>
      <c r="AE36" s="65" t="str">
        <f t="shared" si="18"/>
        <v>#DIV/0!</v>
      </c>
      <c r="AF36" s="65"/>
      <c r="AG36" s="65"/>
      <c r="AH36" s="65"/>
      <c r="AI36" s="46" t="str">
        <f t="shared" si="8"/>
        <v>#DIV/0!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45"/>
      <c r="AZ36" s="46"/>
      <c r="BA36" s="2"/>
      <c r="BB36" s="82"/>
      <c r="BC36" s="77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7"/>
      <c r="BQ36" s="77"/>
      <c r="BR36" s="77"/>
      <c r="BS36" s="77"/>
      <c r="BT36" s="77"/>
      <c r="BU36" s="77"/>
      <c r="BV36" s="77"/>
      <c r="BW36" s="77"/>
      <c r="BX36" s="77"/>
      <c r="BY36" s="77"/>
      <c r="BZ36" s="77"/>
      <c r="CA36" s="77"/>
      <c r="CB36" s="77"/>
    </row>
    <row r="37">
      <c r="A37" s="54"/>
      <c r="B37" s="18" t="s">
        <v>78</v>
      </c>
      <c r="C37" s="18"/>
      <c r="D37" s="76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67"/>
      <c r="P37" s="62" t="str">
        <f t="shared" si="5"/>
        <v>#DIV/0!</v>
      </c>
      <c r="Q37" s="62" t="str">
        <f t="shared" si="6"/>
        <v>#DIV/0!</v>
      </c>
      <c r="R37" s="65"/>
      <c r="S37" s="46" t="str">
        <f t="shared" si="3"/>
        <v>#DIV/0!</v>
      </c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46" t="str">
        <f t="shared" si="8"/>
        <v>#DIV/0!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45"/>
      <c r="AZ37" s="46"/>
      <c r="BA37" s="2"/>
      <c r="BB37" s="82"/>
      <c r="BC37" s="77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7"/>
      <c r="BQ37" s="77"/>
      <c r="BR37" s="77"/>
      <c r="BS37" s="77"/>
      <c r="BT37" s="77"/>
      <c r="BU37" s="77"/>
      <c r="BV37" s="77"/>
      <c r="BW37" s="77"/>
      <c r="BX37" s="77"/>
      <c r="BY37" s="77"/>
      <c r="BZ37" s="77"/>
      <c r="CA37" s="77"/>
      <c r="CB37" s="77"/>
    </row>
    <row r="38">
      <c r="A38" s="54"/>
      <c r="B38" s="18"/>
      <c r="C38" s="18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67"/>
      <c r="P38" s="79"/>
      <c r="Q38" s="79"/>
      <c r="R38" s="65"/>
      <c r="S38" s="46">
        <f t="shared" si="3"/>
        <v>0</v>
      </c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46">
        <f t="shared" si="8"/>
        <v>0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45"/>
      <c r="AZ38" s="46"/>
      <c r="BA38" s="2"/>
      <c r="BB38" s="82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</row>
    <row r="39">
      <c r="A39" s="48" t="s">
        <v>102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81"/>
      <c r="P39" s="81"/>
      <c r="Q39" s="81"/>
      <c r="R39" s="81"/>
      <c r="S39" s="46">
        <f t="shared" si="3"/>
        <v>0</v>
      </c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46">
        <f t="shared" si="8"/>
        <v>0</v>
      </c>
      <c r="AJ39" s="81"/>
      <c r="AK39" s="81"/>
      <c r="AL39" s="81"/>
      <c r="AM39" s="81"/>
      <c r="AN39" s="81"/>
      <c r="AO39" s="81"/>
      <c r="AP39" s="81"/>
      <c r="AQ39" s="81"/>
      <c r="AR39" s="81"/>
      <c r="AS39" s="81"/>
      <c r="AT39" s="81"/>
      <c r="AU39" s="81"/>
      <c r="AV39" s="81"/>
      <c r="AW39" s="81"/>
      <c r="AX39" s="81"/>
      <c r="AY39" s="45"/>
      <c r="AZ39" s="46"/>
      <c r="BA39" s="2"/>
      <c r="BB39" s="82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</row>
    <row r="40">
      <c r="A40" s="85"/>
      <c r="B40" s="86" t="s">
        <v>103</v>
      </c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8"/>
      <c r="P40" s="88"/>
      <c r="Q40" s="88"/>
      <c r="R40" s="88"/>
      <c r="S40" s="46">
        <f t="shared" si="3"/>
        <v>0</v>
      </c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  <c r="AI40" s="46">
        <f t="shared" si="8"/>
        <v>0</v>
      </c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45"/>
      <c r="AZ40" s="46"/>
      <c r="BA40" s="2"/>
      <c r="BB40" s="82"/>
      <c r="BC40" s="77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7"/>
      <c r="BQ40" s="77"/>
      <c r="BR40" s="77"/>
      <c r="BS40" s="77"/>
      <c r="BT40" s="77"/>
      <c r="BU40" s="77"/>
      <c r="BV40" s="77"/>
      <c r="BW40" s="77"/>
      <c r="BX40" s="77"/>
      <c r="BY40" s="77"/>
      <c r="BZ40" s="77"/>
      <c r="CA40" s="77"/>
      <c r="CB40" s="77"/>
    </row>
    <row r="41">
      <c r="A41" s="89">
        <v>1.0</v>
      </c>
      <c r="B41" s="18" t="s">
        <v>104</v>
      </c>
      <c r="C41" s="18" t="s">
        <v>105</v>
      </c>
      <c r="D41" s="76"/>
      <c r="E41" s="55"/>
      <c r="F41" s="55"/>
      <c r="G41" s="57"/>
      <c r="H41" s="90"/>
      <c r="I41" s="55"/>
      <c r="J41" s="55"/>
      <c r="K41" s="57"/>
      <c r="L41" s="55"/>
      <c r="M41" s="55"/>
      <c r="N41" s="55"/>
      <c r="O41" s="67"/>
      <c r="P41" s="62" t="str">
        <f t="shared" ref="P41:P45" si="20">ROUND((N41/$N$74*$P$75)/5,0)</f>
        <v>#DIV/0!</v>
      </c>
      <c r="Q41" s="62" t="str">
        <f t="shared" ref="Q41:Q45" si="21">ROUND((O41/$O$74*$Q$75)/40,0)</f>
        <v>#DIV/0!</v>
      </c>
      <c r="R41" s="65"/>
      <c r="S41" s="46" t="str">
        <f t="shared" si="3"/>
        <v>#DIV/0!</v>
      </c>
      <c r="T41" s="65" t="str">
        <f t="shared" ref="T41:AE41" si="19">($D41/$D$79)*T$9</f>
        <v>#DIV/0!</v>
      </c>
      <c r="U41" s="65" t="str">
        <f t="shared" si="19"/>
        <v>#DIV/0!</v>
      </c>
      <c r="V41" s="65" t="str">
        <f t="shared" si="19"/>
        <v>#DIV/0!</v>
      </c>
      <c r="W41" s="65" t="str">
        <f t="shared" si="19"/>
        <v>#DIV/0!</v>
      </c>
      <c r="X41" s="65" t="str">
        <f t="shared" si="19"/>
        <v>#DIV/0!</v>
      </c>
      <c r="Y41" s="65" t="str">
        <f t="shared" si="19"/>
        <v>#DIV/0!</v>
      </c>
      <c r="Z41" s="65" t="str">
        <f t="shared" si="19"/>
        <v>#DIV/0!</v>
      </c>
      <c r="AA41" s="65" t="str">
        <f t="shared" si="19"/>
        <v>#DIV/0!</v>
      </c>
      <c r="AB41" s="65" t="str">
        <f t="shared" si="19"/>
        <v>#DIV/0!</v>
      </c>
      <c r="AC41" s="65" t="str">
        <f t="shared" si="19"/>
        <v>#DIV/0!</v>
      </c>
      <c r="AD41" s="65" t="str">
        <f t="shared" si="19"/>
        <v>#DIV/0!</v>
      </c>
      <c r="AE41" s="65" t="str">
        <f t="shared" si="19"/>
        <v>#DIV/0!</v>
      </c>
      <c r="AF41" s="65"/>
      <c r="AG41" s="65"/>
      <c r="AH41" s="65"/>
      <c r="AI41" s="46" t="str">
        <f t="shared" si="8"/>
        <v>#DIV/0!</v>
      </c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45"/>
      <c r="AZ41" s="46"/>
      <c r="BA41" s="2"/>
      <c r="BB41" s="82"/>
      <c r="BC41" s="77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7"/>
      <c r="BQ41" s="77"/>
      <c r="BR41" s="77"/>
      <c r="BS41" s="77"/>
      <c r="BT41" s="77"/>
      <c r="BU41" s="77"/>
      <c r="BV41" s="77"/>
      <c r="BW41" s="77"/>
      <c r="BX41" s="77"/>
      <c r="BY41" s="77"/>
      <c r="BZ41" s="77"/>
      <c r="CA41" s="77"/>
      <c r="CB41" s="77"/>
    </row>
    <row r="42">
      <c r="A42" s="89">
        <v>2.0</v>
      </c>
      <c r="B42" s="18" t="s">
        <v>106</v>
      </c>
      <c r="C42" s="18" t="s">
        <v>105</v>
      </c>
      <c r="D42" s="76"/>
      <c r="E42" s="55"/>
      <c r="F42" s="55"/>
      <c r="G42" s="57"/>
      <c r="H42" s="90"/>
      <c r="I42" s="55"/>
      <c r="J42" s="55"/>
      <c r="K42" s="57"/>
      <c r="L42" s="55"/>
      <c r="M42" s="91"/>
      <c r="N42" s="55"/>
      <c r="O42" s="67"/>
      <c r="P42" s="62" t="str">
        <f t="shared" si="20"/>
        <v>#DIV/0!</v>
      </c>
      <c r="Q42" s="62" t="str">
        <f t="shared" si="21"/>
        <v>#DIV/0!</v>
      </c>
      <c r="R42" s="65"/>
      <c r="S42" s="46" t="str">
        <f t="shared" si="3"/>
        <v>#DIV/0!</v>
      </c>
      <c r="T42" s="65" t="str">
        <f t="shared" ref="T42:AE42" si="22">($D42/$D$79)*T$9</f>
        <v>#DIV/0!</v>
      </c>
      <c r="U42" s="65" t="str">
        <f t="shared" si="22"/>
        <v>#DIV/0!</v>
      </c>
      <c r="V42" s="65" t="str">
        <f t="shared" si="22"/>
        <v>#DIV/0!</v>
      </c>
      <c r="W42" s="65" t="str">
        <f t="shared" si="22"/>
        <v>#DIV/0!</v>
      </c>
      <c r="X42" s="65" t="str">
        <f t="shared" si="22"/>
        <v>#DIV/0!</v>
      </c>
      <c r="Y42" s="65" t="str">
        <f t="shared" si="22"/>
        <v>#DIV/0!</v>
      </c>
      <c r="Z42" s="65" t="str">
        <f t="shared" si="22"/>
        <v>#DIV/0!</v>
      </c>
      <c r="AA42" s="65" t="str">
        <f t="shared" si="22"/>
        <v>#DIV/0!</v>
      </c>
      <c r="AB42" s="65" t="str">
        <f t="shared" si="22"/>
        <v>#DIV/0!</v>
      </c>
      <c r="AC42" s="65" t="str">
        <f t="shared" si="22"/>
        <v>#DIV/0!</v>
      </c>
      <c r="AD42" s="65" t="str">
        <f t="shared" si="22"/>
        <v>#DIV/0!</v>
      </c>
      <c r="AE42" s="65" t="str">
        <f t="shared" si="22"/>
        <v>#DIV/0!</v>
      </c>
      <c r="AF42" s="65"/>
      <c r="AG42" s="65"/>
      <c r="AH42" s="65"/>
      <c r="AI42" s="46" t="str">
        <f t="shared" si="8"/>
        <v>#DIV/0!</v>
      </c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45"/>
      <c r="AZ42" s="46"/>
      <c r="BA42" s="2"/>
      <c r="BB42" s="82"/>
      <c r="BC42" s="77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7"/>
      <c r="BQ42" s="77"/>
      <c r="BR42" s="77"/>
      <c r="BS42" s="77"/>
      <c r="BT42" s="77"/>
      <c r="BU42" s="77"/>
      <c r="BV42" s="77"/>
      <c r="BW42" s="77"/>
      <c r="BX42" s="77"/>
      <c r="BY42" s="77"/>
      <c r="BZ42" s="77"/>
      <c r="CA42" s="77"/>
      <c r="CB42" s="77"/>
    </row>
    <row r="43">
      <c r="A43" s="89">
        <v>3.0</v>
      </c>
      <c r="B43" s="18" t="s">
        <v>107</v>
      </c>
      <c r="C43" s="18" t="s">
        <v>105</v>
      </c>
      <c r="D43" s="76"/>
      <c r="E43" s="55"/>
      <c r="F43" s="55"/>
      <c r="G43" s="57"/>
      <c r="H43" s="90"/>
      <c r="I43" s="55"/>
      <c r="J43" s="55"/>
      <c r="K43" s="57"/>
      <c r="L43" s="55"/>
      <c r="M43" s="91"/>
      <c r="N43" s="55"/>
      <c r="O43" s="67"/>
      <c r="P43" s="62" t="str">
        <f t="shared" si="20"/>
        <v>#DIV/0!</v>
      </c>
      <c r="Q43" s="62" t="str">
        <f t="shared" si="21"/>
        <v>#DIV/0!</v>
      </c>
      <c r="R43" s="65"/>
      <c r="S43" s="46" t="str">
        <f t="shared" si="3"/>
        <v>#DIV/0!</v>
      </c>
      <c r="T43" s="65" t="str">
        <f t="shared" ref="T43:AE43" si="23">($D43/$D$79)*T$9</f>
        <v>#DIV/0!</v>
      </c>
      <c r="U43" s="65" t="str">
        <f t="shared" si="23"/>
        <v>#DIV/0!</v>
      </c>
      <c r="V43" s="65" t="str">
        <f t="shared" si="23"/>
        <v>#DIV/0!</v>
      </c>
      <c r="W43" s="65" t="str">
        <f t="shared" si="23"/>
        <v>#DIV/0!</v>
      </c>
      <c r="X43" s="65" t="str">
        <f t="shared" si="23"/>
        <v>#DIV/0!</v>
      </c>
      <c r="Y43" s="65" t="str">
        <f t="shared" si="23"/>
        <v>#DIV/0!</v>
      </c>
      <c r="Z43" s="65" t="str">
        <f t="shared" si="23"/>
        <v>#DIV/0!</v>
      </c>
      <c r="AA43" s="65" t="str">
        <f t="shared" si="23"/>
        <v>#DIV/0!</v>
      </c>
      <c r="AB43" s="65" t="str">
        <f t="shared" si="23"/>
        <v>#DIV/0!</v>
      </c>
      <c r="AC43" s="65" t="str">
        <f t="shared" si="23"/>
        <v>#DIV/0!</v>
      </c>
      <c r="AD43" s="65" t="str">
        <f t="shared" si="23"/>
        <v>#DIV/0!</v>
      </c>
      <c r="AE43" s="65" t="str">
        <f t="shared" si="23"/>
        <v>#DIV/0!</v>
      </c>
      <c r="AF43" s="65"/>
      <c r="AG43" s="65"/>
      <c r="AH43" s="65"/>
      <c r="AI43" s="46" t="str">
        <f t="shared" si="8"/>
        <v>#DIV/0!</v>
      </c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45"/>
      <c r="AZ43" s="46"/>
      <c r="BA43" s="2"/>
      <c r="BB43" s="82"/>
      <c r="BC43" s="77"/>
      <c r="BD43" s="77"/>
      <c r="BE43" s="77"/>
      <c r="BF43" s="77"/>
      <c r="BG43" s="77"/>
      <c r="BH43" s="77"/>
      <c r="BI43" s="77"/>
      <c r="BJ43" s="77"/>
      <c r="BK43" s="77"/>
      <c r="BL43" s="77"/>
      <c r="BM43" s="77"/>
      <c r="BN43" s="77"/>
      <c r="BO43" s="77"/>
      <c r="BP43" s="77"/>
      <c r="BQ43" s="77"/>
      <c r="BR43" s="77"/>
      <c r="BS43" s="77"/>
      <c r="BT43" s="77"/>
      <c r="BU43" s="77"/>
      <c r="BV43" s="77"/>
      <c r="BW43" s="77"/>
      <c r="BX43" s="77"/>
      <c r="BY43" s="77"/>
      <c r="BZ43" s="77"/>
      <c r="CA43" s="77"/>
      <c r="CB43" s="77"/>
    </row>
    <row r="44">
      <c r="A44" s="89">
        <v>4.0</v>
      </c>
      <c r="B44" s="68" t="s">
        <v>108</v>
      </c>
      <c r="C44" s="18" t="s">
        <v>105</v>
      </c>
      <c r="D44" s="76"/>
      <c r="E44" s="55"/>
      <c r="F44" s="55"/>
      <c r="G44" s="57"/>
      <c r="H44" s="90"/>
      <c r="I44" s="55"/>
      <c r="J44" s="55"/>
      <c r="K44" s="57"/>
      <c r="L44" s="55"/>
      <c r="M44" s="91"/>
      <c r="N44" s="55"/>
      <c r="O44" s="67"/>
      <c r="P44" s="62" t="str">
        <f t="shared" si="20"/>
        <v>#DIV/0!</v>
      </c>
      <c r="Q44" s="62" t="str">
        <f t="shared" si="21"/>
        <v>#DIV/0!</v>
      </c>
      <c r="R44" s="65"/>
      <c r="S44" s="46" t="str">
        <f t="shared" si="3"/>
        <v>#DIV/0!</v>
      </c>
      <c r="T44" s="65" t="str">
        <f t="shared" ref="T44:AE44" si="24">($D44/$D$79)*T$9</f>
        <v>#DIV/0!</v>
      </c>
      <c r="U44" s="65" t="str">
        <f t="shared" si="24"/>
        <v>#DIV/0!</v>
      </c>
      <c r="V44" s="65" t="str">
        <f t="shared" si="24"/>
        <v>#DIV/0!</v>
      </c>
      <c r="W44" s="65" t="str">
        <f t="shared" si="24"/>
        <v>#DIV/0!</v>
      </c>
      <c r="X44" s="65" t="str">
        <f t="shared" si="24"/>
        <v>#DIV/0!</v>
      </c>
      <c r="Y44" s="65" t="str">
        <f t="shared" si="24"/>
        <v>#DIV/0!</v>
      </c>
      <c r="Z44" s="65" t="str">
        <f t="shared" si="24"/>
        <v>#DIV/0!</v>
      </c>
      <c r="AA44" s="65" t="str">
        <f t="shared" si="24"/>
        <v>#DIV/0!</v>
      </c>
      <c r="AB44" s="65" t="str">
        <f t="shared" si="24"/>
        <v>#DIV/0!</v>
      </c>
      <c r="AC44" s="65" t="str">
        <f t="shared" si="24"/>
        <v>#DIV/0!</v>
      </c>
      <c r="AD44" s="65" t="str">
        <f t="shared" si="24"/>
        <v>#DIV/0!</v>
      </c>
      <c r="AE44" s="65" t="str">
        <f t="shared" si="24"/>
        <v>#DIV/0!</v>
      </c>
      <c r="AF44" s="65"/>
      <c r="AG44" s="65"/>
      <c r="AH44" s="65"/>
      <c r="AI44" s="46" t="str">
        <f t="shared" si="8"/>
        <v>#DIV/0!</v>
      </c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45"/>
      <c r="AZ44" s="46"/>
      <c r="BA44" s="2"/>
      <c r="BB44" s="82"/>
      <c r="BC44" s="77"/>
      <c r="BD44" s="77"/>
      <c r="BE44" s="77"/>
      <c r="BF44" s="77"/>
      <c r="BG44" s="77"/>
      <c r="BH44" s="77"/>
      <c r="BI44" s="77"/>
      <c r="BJ44" s="77"/>
      <c r="BK44" s="77"/>
      <c r="BL44" s="77"/>
      <c r="BM44" s="77"/>
      <c r="BN44" s="77"/>
      <c r="BO44" s="77"/>
      <c r="BP44" s="77"/>
      <c r="BQ44" s="77"/>
      <c r="BR44" s="77"/>
      <c r="BS44" s="77"/>
      <c r="BT44" s="77"/>
      <c r="BU44" s="77"/>
      <c r="BV44" s="77"/>
      <c r="BW44" s="77"/>
      <c r="BX44" s="77"/>
      <c r="BY44" s="77"/>
      <c r="BZ44" s="77"/>
      <c r="CA44" s="77"/>
      <c r="CB44" s="77"/>
    </row>
    <row r="45">
      <c r="A45" s="89">
        <v>5.0</v>
      </c>
      <c r="B45" s="68" t="s">
        <v>109</v>
      </c>
      <c r="C45" s="18" t="s">
        <v>105</v>
      </c>
      <c r="D45" s="76"/>
      <c r="E45" s="55"/>
      <c r="F45" s="55"/>
      <c r="G45" s="57"/>
      <c r="H45" s="90"/>
      <c r="I45" s="55"/>
      <c r="J45" s="55"/>
      <c r="K45" s="57"/>
      <c r="L45" s="55"/>
      <c r="M45" s="91"/>
      <c r="N45" s="55"/>
      <c r="O45" s="67"/>
      <c r="P45" s="62" t="str">
        <f t="shared" si="20"/>
        <v>#DIV/0!</v>
      </c>
      <c r="Q45" s="62" t="str">
        <f t="shared" si="21"/>
        <v>#DIV/0!</v>
      </c>
      <c r="R45" s="65"/>
      <c r="S45" s="46" t="str">
        <f t="shared" si="3"/>
        <v>#DIV/0!</v>
      </c>
      <c r="T45" s="65" t="str">
        <f t="shared" ref="T45:AE45" si="25">($D45/$D$79)*T$9</f>
        <v>#DIV/0!</v>
      </c>
      <c r="U45" s="65" t="str">
        <f t="shared" si="25"/>
        <v>#DIV/0!</v>
      </c>
      <c r="V45" s="65" t="str">
        <f t="shared" si="25"/>
        <v>#DIV/0!</v>
      </c>
      <c r="W45" s="65" t="str">
        <f t="shared" si="25"/>
        <v>#DIV/0!</v>
      </c>
      <c r="X45" s="65" t="str">
        <f t="shared" si="25"/>
        <v>#DIV/0!</v>
      </c>
      <c r="Y45" s="65" t="str">
        <f t="shared" si="25"/>
        <v>#DIV/0!</v>
      </c>
      <c r="Z45" s="65" t="str">
        <f t="shared" si="25"/>
        <v>#DIV/0!</v>
      </c>
      <c r="AA45" s="65" t="str">
        <f t="shared" si="25"/>
        <v>#DIV/0!</v>
      </c>
      <c r="AB45" s="65" t="str">
        <f t="shared" si="25"/>
        <v>#DIV/0!</v>
      </c>
      <c r="AC45" s="65" t="str">
        <f t="shared" si="25"/>
        <v>#DIV/0!</v>
      </c>
      <c r="AD45" s="65" t="str">
        <f t="shared" si="25"/>
        <v>#DIV/0!</v>
      </c>
      <c r="AE45" s="65" t="str">
        <f t="shared" si="25"/>
        <v>#DIV/0!</v>
      </c>
      <c r="AF45" s="65"/>
      <c r="AG45" s="65"/>
      <c r="AH45" s="65"/>
      <c r="AI45" s="46" t="str">
        <f t="shared" si="8"/>
        <v>#DIV/0!</v>
      </c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45"/>
      <c r="AZ45" s="46"/>
      <c r="BA45" s="2"/>
      <c r="BB45" s="82"/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/>
      <c r="BN45" s="77"/>
      <c r="BO45" s="77"/>
      <c r="BP45" s="77"/>
      <c r="BQ45" s="77"/>
      <c r="BR45" s="77"/>
      <c r="BS45" s="77"/>
      <c r="BT45" s="77"/>
      <c r="BU45" s="77"/>
      <c r="BV45" s="77"/>
      <c r="BW45" s="77"/>
      <c r="BX45" s="77"/>
      <c r="BY45" s="77"/>
      <c r="BZ45" s="77"/>
      <c r="CA45" s="77"/>
      <c r="CB45" s="77"/>
    </row>
    <row r="46">
      <c r="A46" s="89">
        <v>6.0</v>
      </c>
      <c r="B46" s="68" t="s">
        <v>110</v>
      </c>
      <c r="C46" s="18" t="s">
        <v>105</v>
      </c>
      <c r="D46" s="76"/>
      <c r="E46" s="55"/>
      <c r="F46" s="55"/>
      <c r="G46" s="57"/>
      <c r="H46" s="90"/>
      <c r="I46" s="55"/>
      <c r="J46" s="55"/>
      <c r="K46" s="57"/>
      <c r="L46" s="55"/>
      <c r="M46" s="91"/>
      <c r="N46" s="55"/>
      <c r="O46" s="67"/>
      <c r="P46" s="79"/>
      <c r="Q46" s="79"/>
      <c r="R46" s="65"/>
      <c r="S46" s="46">
        <f t="shared" si="3"/>
        <v>0</v>
      </c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46">
        <f t="shared" si="8"/>
        <v>0</v>
      </c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45"/>
      <c r="AZ46" s="46"/>
      <c r="BA46" s="2"/>
      <c r="BB46" s="82"/>
      <c r="BC46" s="77"/>
      <c r="BD46" s="77"/>
      <c r="BE46" s="77"/>
      <c r="BF46" s="77"/>
      <c r="BG46" s="77"/>
      <c r="BH46" s="77"/>
      <c r="BI46" s="77"/>
      <c r="BJ46" s="77"/>
      <c r="BK46" s="77"/>
      <c r="BL46" s="77"/>
      <c r="BM46" s="77"/>
      <c r="BN46" s="77"/>
      <c r="BO46" s="77"/>
      <c r="BP46" s="77"/>
      <c r="BQ46" s="77"/>
      <c r="BR46" s="77"/>
      <c r="BS46" s="77"/>
      <c r="BT46" s="77"/>
      <c r="BU46" s="77"/>
      <c r="BV46" s="77"/>
      <c r="BW46" s="77"/>
      <c r="BX46" s="77"/>
      <c r="BY46" s="77"/>
      <c r="BZ46" s="77"/>
      <c r="CA46" s="77"/>
      <c r="CB46" s="77"/>
    </row>
    <row r="47">
      <c r="A47" s="54"/>
      <c r="B47" s="18" t="s">
        <v>78</v>
      </c>
      <c r="C47" s="18"/>
      <c r="D47" s="76"/>
      <c r="E47" s="92"/>
      <c r="F47" s="92"/>
      <c r="G47" s="93"/>
      <c r="H47" s="92"/>
      <c r="I47" s="55"/>
      <c r="J47" s="55"/>
      <c r="K47" s="55"/>
      <c r="L47" s="55"/>
      <c r="M47" s="55"/>
      <c r="N47" s="55"/>
      <c r="O47" s="67"/>
      <c r="P47" s="79"/>
      <c r="Q47" s="79"/>
      <c r="R47" s="65"/>
      <c r="S47" s="46">
        <f t="shared" si="3"/>
        <v>0</v>
      </c>
      <c r="T47" s="65"/>
      <c r="U47" s="65"/>
      <c r="V47" s="65"/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46">
        <f t="shared" si="8"/>
        <v>0</v>
      </c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45"/>
      <c r="AZ47" s="46"/>
      <c r="BA47" s="2"/>
      <c r="BB47" s="82"/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/>
      <c r="BN47" s="77"/>
      <c r="BO47" s="77"/>
      <c r="BP47" s="77"/>
      <c r="BQ47" s="77"/>
      <c r="BR47" s="77"/>
      <c r="BS47" s="77"/>
      <c r="BT47" s="77"/>
      <c r="BU47" s="77"/>
      <c r="BV47" s="77"/>
      <c r="BW47" s="77"/>
      <c r="BX47" s="77"/>
      <c r="BY47" s="77"/>
      <c r="BZ47" s="77"/>
      <c r="CA47" s="77"/>
      <c r="CB47" s="77"/>
    </row>
    <row r="48">
      <c r="A48" s="94"/>
      <c r="B48" s="18"/>
      <c r="C48" s="18"/>
      <c r="D48" s="95"/>
      <c r="E48" s="95"/>
      <c r="F48" s="55"/>
      <c r="G48" s="93"/>
      <c r="H48" s="96"/>
      <c r="I48" s="78"/>
      <c r="J48" s="91"/>
      <c r="K48" s="91"/>
      <c r="L48" s="91"/>
      <c r="M48" s="91"/>
      <c r="N48" s="91"/>
      <c r="O48" s="97"/>
      <c r="P48" s="79"/>
      <c r="Q48" s="79"/>
      <c r="R48" s="65"/>
      <c r="S48" s="46">
        <f t="shared" si="3"/>
        <v>0</v>
      </c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46">
        <f t="shared" si="8"/>
        <v>0</v>
      </c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45"/>
      <c r="AZ48" s="46"/>
      <c r="BA48" s="2"/>
      <c r="BB48" s="82"/>
      <c r="BC48" s="77"/>
      <c r="BD48" s="77"/>
      <c r="BE48" s="77"/>
      <c r="BF48" s="77"/>
      <c r="BG48" s="77"/>
      <c r="BH48" s="77"/>
      <c r="BI48" s="77"/>
      <c r="BJ48" s="77"/>
      <c r="BK48" s="77"/>
      <c r="BL48" s="77"/>
      <c r="BM48" s="77"/>
      <c r="BN48" s="77"/>
      <c r="BO48" s="77"/>
      <c r="BP48" s="77"/>
      <c r="BQ48" s="77"/>
      <c r="BR48" s="77"/>
      <c r="BS48" s="77"/>
      <c r="BT48" s="77"/>
      <c r="BU48" s="77"/>
      <c r="BV48" s="77"/>
      <c r="BW48" s="77"/>
      <c r="BX48" s="77"/>
      <c r="BY48" s="77"/>
      <c r="BZ48" s="77"/>
      <c r="CA48" s="77"/>
      <c r="CB48" s="77"/>
    </row>
    <row r="49">
      <c r="A49" s="85"/>
      <c r="B49" s="86" t="s">
        <v>111</v>
      </c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8"/>
      <c r="P49" s="88"/>
      <c r="Q49" s="88"/>
      <c r="R49" s="88"/>
      <c r="S49" s="46">
        <f t="shared" si="3"/>
        <v>0</v>
      </c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  <c r="AI49" s="46">
        <f t="shared" si="8"/>
        <v>0</v>
      </c>
      <c r="AJ49" s="88"/>
      <c r="AK49" s="88"/>
      <c r="AL49" s="88"/>
      <c r="AM49" s="88"/>
      <c r="AN49" s="88"/>
      <c r="AO49" s="88"/>
      <c r="AP49" s="88"/>
      <c r="AQ49" s="88"/>
      <c r="AR49" s="88"/>
      <c r="AS49" s="88"/>
      <c r="AT49" s="88"/>
      <c r="AU49" s="88"/>
      <c r="AV49" s="88"/>
      <c r="AW49" s="88"/>
      <c r="AX49" s="88"/>
      <c r="AY49" s="46"/>
      <c r="AZ49" s="46"/>
      <c r="BA49" s="2"/>
      <c r="BB49" s="82"/>
      <c r="BC49" s="77"/>
      <c r="BD49" s="77"/>
      <c r="BE49" s="77"/>
      <c r="BF49" s="77"/>
      <c r="BG49" s="77"/>
      <c r="BH49" s="77"/>
      <c r="BI49" s="77"/>
      <c r="BJ49" s="77"/>
      <c r="BK49" s="77"/>
      <c r="BL49" s="77"/>
      <c r="BM49" s="77"/>
      <c r="BN49" s="77"/>
      <c r="BO49" s="77"/>
      <c r="BP49" s="77"/>
      <c r="BQ49" s="77"/>
      <c r="BR49" s="77"/>
      <c r="BS49" s="77"/>
      <c r="BT49" s="77"/>
      <c r="BU49" s="77"/>
      <c r="BV49" s="77"/>
      <c r="BW49" s="77"/>
      <c r="BX49" s="77"/>
      <c r="BY49" s="77"/>
      <c r="BZ49" s="77"/>
      <c r="CA49" s="77"/>
      <c r="CB49" s="77"/>
    </row>
    <row r="50">
      <c r="A50" s="54">
        <v>1.0</v>
      </c>
      <c r="B50" s="68" t="s">
        <v>112</v>
      </c>
      <c r="C50" s="18" t="s">
        <v>113</v>
      </c>
      <c r="D50" s="92"/>
      <c r="E50" s="56"/>
      <c r="F50" s="57"/>
      <c r="G50" s="92"/>
      <c r="H50" s="56"/>
      <c r="I50" s="56"/>
      <c r="J50" s="55"/>
      <c r="K50" s="55"/>
      <c r="L50" s="55"/>
      <c r="M50" s="55"/>
      <c r="N50" s="55"/>
      <c r="O50" s="67"/>
      <c r="P50" s="62" t="str">
        <f t="shared" ref="P50:P72" si="27">ROUND((N50/$N$74*$P$75)/5,0)</f>
        <v>#DIV/0!</v>
      </c>
      <c r="Q50" s="62" t="str">
        <f t="shared" ref="Q50:Q72" si="28">ROUND((O50/$O$74*$Q$75)/40,0)</f>
        <v>#DIV/0!</v>
      </c>
      <c r="R50" s="65"/>
      <c r="S50" s="46" t="str">
        <f t="shared" si="3"/>
        <v>#DIV/0!</v>
      </c>
      <c r="T50" s="65" t="str">
        <f t="shared" ref="T50:AE50" si="26">($D50/$D$79)*T$9</f>
        <v>#DIV/0!</v>
      </c>
      <c r="U50" s="65" t="str">
        <f t="shared" si="26"/>
        <v>#DIV/0!</v>
      </c>
      <c r="V50" s="65" t="str">
        <f t="shared" si="26"/>
        <v>#DIV/0!</v>
      </c>
      <c r="W50" s="65" t="str">
        <f t="shared" si="26"/>
        <v>#DIV/0!</v>
      </c>
      <c r="X50" s="65" t="str">
        <f t="shared" si="26"/>
        <v>#DIV/0!</v>
      </c>
      <c r="Y50" s="65" t="str">
        <f t="shared" si="26"/>
        <v>#DIV/0!</v>
      </c>
      <c r="Z50" s="65" t="str">
        <f t="shared" si="26"/>
        <v>#DIV/0!</v>
      </c>
      <c r="AA50" s="65" t="str">
        <f t="shared" si="26"/>
        <v>#DIV/0!</v>
      </c>
      <c r="AB50" s="65" t="str">
        <f t="shared" si="26"/>
        <v>#DIV/0!</v>
      </c>
      <c r="AC50" s="65" t="str">
        <f t="shared" si="26"/>
        <v>#DIV/0!</v>
      </c>
      <c r="AD50" s="65" t="str">
        <f t="shared" si="26"/>
        <v>#DIV/0!</v>
      </c>
      <c r="AE50" s="65" t="str">
        <f t="shared" si="26"/>
        <v>#DIV/0!</v>
      </c>
      <c r="AF50" s="65"/>
      <c r="AG50" s="65"/>
      <c r="AH50" s="65"/>
      <c r="AI50" s="46" t="str">
        <f t="shared" si="8"/>
        <v>#DIV/0!</v>
      </c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46"/>
      <c r="AZ50" s="46"/>
      <c r="BA50" s="2"/>
      <c r="BB50" s="82"/>
      <c r="BC50" s="77"/>
      <c r="BD50" s="77"/>
      <c r="BE50" s="77"/>
      <c r="BF50" s="77"/>
      <c r="BG50" s="77"/>
      <c r="BH50" s="77"/>
      <c r="BI50" s="77"/>
      <c r="BJ50" s="77"/>
      <c r="BK50" s="77"/>
      <c r="BL50" s="77"/>
      <c r="BM50" s="77"/>
      <c r="BN50" s="77"/>
      <c r="BO50" s="77"/>
      <c r="BP50" s="77"/>
      <c r="BQ50" s="77"/>
      <c r="BR50" s="77"/>
      <c r="BS50" s="77"/>
      <c r="BT50" s="77"/>
      <c r="BU50" s="77"/>
      <c r="BV50" s="77"/>
      <c r="BW50" s="77"/>
      <c r="BX50" s="77"/>
      <c r="BY50" s="77"/>
      <c r="BZ50" s="77"/>
      <c r="CA50" s="77"/>
      <c r="CB50" s="77"/>
    </row>
    <row r="51">
      <c r="A51" s="54">
        <v>2.0</v>
      </c>
      <c r="B51" s="18" t="s">
        <v>114</v>
      </c>
      <c r="C51" s="18" t="s">
        <v>113</v>
      </c>
      <c r="D51" s="92"/>
      <c r="E51" s="56"/>
      <c r="F51" s="57"/>
      <c r="G51" s="92"/>
      <c r="H51" s="56"/>
      <c r="I51" s="56"/>
      <c r="J51" s="55"/>
      <c r="K51" s="55"/>
      <c r="L51" s="55"/>
      <c r="M51" s="55"/>
      <c r="N51" s="55"/>
      <c r="O51" s="67"/>
      <c r="P51" s="62" t="str">
        <f t="shared" si="27"/>
        <v>#DIV/0!</v>
      </c>
      <c r="Q51" s="62" t="str">
        <f t="shared" si="28"/>
        <v>#DIV/0!</v>
      </c>
      <c r="R51" s="65"/>
      <c r="S51" s="46" t="str">
        <f t="shared" si="3"/>
        <v>#DIV/0!</v>
      </c>
      <c r="T51" s="65" t="str">
        <f t="shared" ref="T51:AE51" si="29">($D51/$D$79)*T$9</f>
        <v>#DIV/0!</v>
      </c>
      <c r="U51" s="65" t="str">
        <f t="shared" si="29"/>
        <v>#DIV/0!</v>
      </c>
      <c r="V51" s="65" t="str">
        <f t="shared" si="29"/>
        <v>#DIV/0!</v>
      </c>
      <c r="W51" s="65" t="str">
        <f t="shared" si="29"/>
        <v>#DIV/0!</v>
      </c>
      <c r="X51" s="65" t="str">
        <f t="shared" si="29"/>
        <v>#DIV/0!</v>
      </c>
      <c r="Y51" s="65" t="str">
        <f t="shared" si="29"/>
        <v>#DIV/0!</v>
      </c>
      <c r="Z51" s="65" t="str">
        <f t="shared" si="29"/>
        <v>#DIV/0!</v>
      </c>
      <c r="AA51" s="65" t="str">
        <f t="shared" si="29"/>
        <v>#DIV/0!</v>
      </c>
      <c r="AB51" s="65" t="str">
        <f t="shared" si="29"/>
        <v>#DIV/0!</v>
      </c>
      <c r="AC51" s="65" t="str">
        <f t="shared" si="29"/>
        <v>#DIV/0!</v>
      </c>
      <c r="AD51" s="65" t="str">
        <f t="shared" si="29"/>
        <v>#DIV/0!</v>
      </c>
      <c r="AE51" s="65" t="str">
        <f t="shared" si="29"/>
        <v>#DIV/0!</v>
      </c>
      <c r="AF51" s="65"/>
      <c r="AG51" s="65"/>
      <c r="AH51" s="65"/>
      <c r="AI51" s="46" t="str">
        <f t="shared" si="8"/>
        <v>#DIV/0!</v>
      </c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46"/>
      <c r="AZ51" s="46"/>
      <c r="BA51" s="2"/>
      <c r="BB51" s="82"/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/>
      <c r="BN51" s="77"/>
      <c r="BO51" s="77"/>
      <c r="BP51" s="77"/>
      <c r="BQ51" s="77"/>
      <c r="BR51" s="77"/>
      <c r="BS51" s="77"/>
      <c r="BT51" s="77"/>
      <c r="BU51" s="77"/>
      <c r="BV51" s="77"/>
      <c r="BW51" s="77"/>
      <c r="BX51" s="77"/>
      <c r="BY51" s="77"/>
      <c r="BZ51" s="77"/>
      <c r="CA51" s="77"/>
      <c r="CB51" s="77"/>
    </row>
    <row r="52">
      <c r="A52" s="54">
        <v>3.0</v>
      </c>
      <c r="B52" s="18" t="s">
        <v>115</v>
      </c>
      <c r="C52" s="18" t="s">
        <v>113</v>
      </c>
      <c r="D52" s="92"/>
      <c r="E52" s="56"/>
      <c r="F52" s="57"/>
      <c r="G52" s="92"/>
      <c r="H52" s="56"/>
      <c r="I52" s="56"/>
      <c r="J52" s="55"/>
      <c r="K52" s="55"/>
      <c r="L52" s="55"/>
      <c r="M52" s="55"/>
      <c r="N52" s="55"/>
      <c r="O52" s="67"/>
      <c r="P52" s="62" t="str">
        <f t="shared" si="27"/>
        <v>#DIV/0!</v>
      </c>
      <c r="Q52" s="62" t="str">
        <f t="shared" si="28"/>
        <v>#DIV/0!</v>
      </c>
      <c r="R52" s="65"/>
      <c r="S52" s="46" t="str">
        <f t="shared" si="3"/>
        <v>#DIV/0!</v>
      </c>
      <c r="T52" s="65" t="str">
        <f t="shared" ref="T52:AE52" si="30">($D52/$D$79)*T$9</f>
        <v>#DIV/0!</v>
      </c>
      <c r="U52" s="65" t="str">
        <f t="shared" si="30"/>
        <v>#DIV/0!</v>
      </c>
      <c r="V52" s="65" t="str">
        <f t="shared" si="30"/>
        <v>#DIV/0!</v>
      </c>
      <c r="W52" s="65" t="str">
        <f t="shared" si="30"/>
        <v>#DIV/0!</v>
      </c>
      <c r="X52" s="65" t="str">
        <f t="shared" si="30"/>
        <v>#DIV/0!</v>
      </c>
      <c r="Y52" s="65" t="str">
        <f t="shared" si="30"/>
        <v>#DIV/0!</v>
      </c>
      <c r="Z52" s="65" t="str">
        <f t="shared" si="30"/>
        <v>#DIV/0!</v>
      </c>
      <c r="AA52" s="65" t="str">
        <f t="shared" si="30"/>
        <v>#DIV/0!</v>
      </c>
      <c r="AB52" s="65" t="str">
        <f t="shared" si="30"/>
        <v>#DIV/0!</v>
      </c>
      <c r="AC52" s="65" t="str">
        <f t="shared" si="30"/>
        <v>#DIV/0!</v>
      </c>
      <c r="AD52" s="65" t="str">
        <f t="shared" si="30"/>
        <v>#DIV/0!</v>
      </c>
      <c r="AE52" s="65" t="str">
        <f t="shared" si="30"/>
        <v>#DIV/0!</v>
      </c>
      <c r="AF52" s="65"/>
      <c r="AG52" s="65"/>
      <c r="AH52" s="65"/>
      <c r="AI52" s="46" t="str">
        <f t="shared" si="8"/>
        <v>#DIV/0!</v>
      </c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46"/>
      <c r="AZ52" s="46"/>
      <c r="BA52" s="2"/>
      <c r="BB52" s="82"/>
      <c r="BC52" s="77"/>
      <c r="BD52" s="77"/>
      <c r="BE52" s="77"/>
      <c r="BF52" s="77"/>
      <c r="BG52" s="77"/>
      <c r="BH52" s="77"/>
      <c r="BI52" s="77"/>
      <c r="BJ52" s="77"/>
      <c r="BK52" s="77"/>
      <c r="BL52" s="77"/>
      <c r="BM52" s="77"/>
      <c r="BN52" s="77"/>
      <c r="BO52" s="77"/>
      <c r="BP52" s="77"/>
      <c r="BQ52" s="77"/>
      <c r="BR52" s="77"/>
      <c r="BS52" s="77"/>
      <c r="BT52" s="77"/>
      <c r="BU52" s="77"/>
      <c r="BV52" s="77"/>
      <c r="BW52" s="77"/>
      <c r="BX52" s="77"/>
      <c r="BY52" s="77"/>
      <c r="BZ52" s="77"/>
      <c r="CA52" s="77"/>
      <c r="CB52" s="77"/>
    </row>
    <row r="53">
      <c r="A53" s="54">
        <v>4.0</v>
      </c>
      <c r="B53" s="18" t="s">
        <v>116</v>
      </c>
      <c r="C53" s="18" t="s">
        <v>113</v>
      </c>
      <c r="D53" s="92"/>
      <c r="E53" s="56"/>
      <c r="F53" s="57"/>
      <c r="G53" s="92"/>
      <c r="H53" s="56"/>
      <c r="I53" s="56"/>
      <c r="J53" s="55"/>
      <c r="K53" s="55"/>
      <c r="L53" s="55"/>
      <c r="M53" s="55"/>
      <c r="N53" s="55"/>
      <c r="O53" s="67"/>
      <c r="P53" s="62" t="str">
        <f t="shared" si="27"/>
        <v>#DIV/0!</v>
      </c>
      <c r="Q53" s="62" t="str">
        <f t="shared" si="28"/>
        <v>#DIV/0!</v>
      </c>
      <c r="R53" s="65"/>
      <c r="S53" s="46" t="str">
        <f t="shared" si="3"/>
        <v>#DIV/0!</v>
      </c>
      <c r="T53" s="65" t="str">
        <f t="shared" ref="T53:AE53" si="31">($D53/$D$79)*T$9</f>
        <v>#DIV/0!</v>
      </c>
      <c r="U53" s="65" t="str">
        <f t="shared" si="31"/>
        <v>#DIV/0!</v>
      </c>
      <c r="V53" s="65" t="str">
        <f t="shared" si="31"/>
        <v>#DIV/0!</v>
      </c>
      <c r="W53" s="65" t="str">
        <f t="shared" si="31"/>
        <v>#DIV/0!</v>
      </c>
      <c r="X53" s="65" t="str">
        <f t="shared" si="31"/>
        <v>#DIV/0!</v>
      </c>
      <c r="Y53" s="65" t="str">
        <f t="shared" si="31"/>
        <v>#DIV/0!</v>
      </c>
      <c r="Z53" s="65" t="str">
        <f t="shared" si="31"/>
        <v>#DIV/0!</v>
      </c>
      <c r="AA53" s="65" t="str">
        <f t="shared" si="31"/>
        <v>#DIV/0!</v>
      </c>
      <c r="AB53" s="65" t="str">
        <f t="shared" si="31"/>
        <v>#DIV/0!</v>
      </c>
      <c r="AC53" s="65" t="str">
        <f t="shared" si="31"/>
        <v>#DIV/0!</v>
      </c>
      <c r="AD53" s="65" t="str">
        <f t="shared" si="31"/>
        <v>#DIV/0!</v>
      </c>
      <c r="AE53" s="65" t="str">
        <f t="shared" si="31"/>
        <v>#DIV/0!</v>
      </c>
      <c r="AF53" s="65"/>
      <c r="AG53" s="65"/>
      <c r="AH53" s="65"/>
      <c r="AI53" s="46" t="str">
        <f t="shared" si="8"/>
        <v>#DIV/0!</v>
      </c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46"/>
      <c r="AZ53" s="46"/>
      <c r="BA53" s="2"/>
      <c r="BB53" s="82"/>
      <c r="BC53" s="77"/>
      <c r="BD53" s="77"/>
      <c r="BE53" s="77"/>
      <c r="BF53" s="77"/>
      <c r="BG53" s="77"/>
      <c r="BH53" s="77"/>
      <c r="BI53" s="77"/>
      <c r="BJ53" s="77"/>
      <c r="BK53" s="77"/>
      <c r="BL53" s="77"/>
      <c r="BM53" s="77"/>
      <c r="BN53" s="77"/>
      <c r="BO53" s="77"/>
      <c r="BP53" s="77"/>
      <c r="BQ53" s="77"/>
      <c r="BR53" s="77"/>
      <c r="BS53" s="77"/>
      <c r="BT53" s="77"/>
      <c r="BU53" s="77"/>
      <c r="BV53" s="77"/>
      <c r="BW53" s="77"/>
      <c r="BX53" s="77"/>
      <c r="BY53" s="77"/>
      <c r="BZ53" s="77"/>
      <c r="CA53" s="77"/>
      <c r="CB53" s="77"/>
    </row>
    <row r="54">
      <c r="A54" s="54">
        <v>5.0</v>
      </c>
      <c r="B54" s="18" t="s">
        <v>117</v>
      </c>
      <c r="C54" s="18" t="s">
        <v>113</v>
      </c>
      <c r="D54" s="92"/>
      <c r="E54" s="56"/>
      <c r="F54" s="57"/>
      <c r="G54" s="92"/>
      <c r="H54" s="56"/>
      <c r="I54" s="56"/>
      <c r="J54" s="55"/>
      <c r="K54" s="55"/>
      <c r="L54" s="55"/>
      <c r="M54" s="55"/>
      <c r="N54" s="55"/>
      <c r="O54" s="67"/>
      <c r="P54" s="62" t="str">
        <f t="shared" si="27"/>
        <v>#DIV/0!</v>
      </c>
      <c r="Q54" s="62" t="str">
        <f t="shared" si="28"/>
        <v>#DIV/0!</v>
      </c>
      <c r="R54" s="65"/>
      <c r="S54" s="46" t="str">
        <f t="shared" si="3"/>
        <v>#DIV/0!</v>
      </c>
      <c r="T54" s="65" t="str">
        <f t="shared" ref="T54:AE54" si="32">($D54/$D$79)*T$9</f>
        <v>#DIV/0!</v>
      </c>
      <c r="U54" s="65" t="str">
        <f t="shared" si="32"/>
        <v>#DIV/0!</v>
      </c>
      <c r="V54" s="65" t="str">
        <f t="shared" si="32"/>
        <v>#DIV/0!</v>
      </c>
      <c r="W54" s="65" t="str">
        <f t="shared" si="32"/>
        <v>#DIV/0!</v>
      </c>
      <c r="X54" s="65" t="str">
        <f t="shared" si="32"/>
        <v>#DIV/0!</v>
      </c>
      <c r="Y54" s="65" t="str">
        <f t="shared" si="32"/>
        <v>#DIV/0!</v>
      </c>
      <c r="Z54" s="65" t="str">
        <f t="shared" si="32"/>
        <v>#DIV/0!</v>
      </c>
      <c r="AA54" s="65" t="str">
        <f t="shared" si="32"/>
        <v>#DIV/0!</v>
      </c>
      <c r="AB54" s="65" t="str">
        <f t="shared" si="32"/>
        <v>#DIV/0!</v>
      </c>
      <c r="AC54" s="65" t="str">
        <f t="shared" si="32"/>
        <v>#DIV/0!</v>
      </c>
      <c r="AD54" s="65" t="str">
        <f t="shared" si="32"/>
        <v>#DIV/0!</v>
      </c>
      <c r="AE54" s="65" t="str">
        <f t="shared" si="32"/>
        <v>#DIV/0!</v>
      </c>
      <c r="AF54" s="65"/>
      <c r="AG54" s="65"/>
      <c r="AH54" s="65"/>
      <c r="AI54" s="46" t="str">
        <f t="shared" si="8"/>
        <v>#DIV/0!</v>
      </c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46"/>
      <c r="AZ54" s="46"/>
      <c r="BA54" s="2"/>
      <c r="BB54" s="82"/>
      <c r="BC54" s="77"/>
      <c r="BD54" s="77"/>
      <c r="BE54" s="77"/>
      <c r="BF54" s="77"/>
      <c r="BG54" s="77"/>
      <c r="BH54" s="77"/>
      <c r="BI54" s="77"/>
      <c r="BJ54" s="77"/>
      <c r="BK54" s="77"/>
      <c r="BL54" s="77"/>
      <c r="BM54" s="77"/>
      <c r="BN54" s="77"/>
      <c r="BO54" s="77"/>
      <c r="BP54" s="77"/>
      <c r="BQ54" s="77"/>
      <c r="BR54" s="77"/>
      <c r="BS54" s="77"/>
      <c r="BT54" s="77"/>
      <c r="BU54" s="77"/>
      <c r="BV54" s="77"/>
      <c r="BW54" s="77"/>
      <c r="BX54" s="77"/>
      <c r="BY54" s="77"/>
      <c r="BZ54" s="77"/>
      <c r="CA54" s="77"/>
      <c r="CB54" s="77"/>
    </row>
    <row r="55">
      <c r="A55" s="54">
        <v>6.0</v>
      </c>
      <c r="B55" s="18" t="s">
        <v>118</v>
      </c>
      <c r="C55" s="18" t="s">
        <v>113</v>
      </c>
      <c r="D55" s="92"/>
      <c r="E55" s="56"/>
      <c r="F55" s="57"/>
      <c r="G55" s="92"/>
      <c r="H55" s="56"/>
      <c r="I55" s="56"/>
      <c r="J55" s="55"/>
      <c r="K55" s="55"/>
      <c r="L55" s="55"/>
      <c r="M55" s="55"/>
      <c r="N55" s="55"/>
      <c r="O55" s="67"/>
      <c r="P55" s="62" t="str">
        <f t="shared" si="27"/>
        <v>#DIV/0!</v>
      </c>
      <c r="Q55" s="62" t="str">
        <f t="shared" si="28"/>
        <v>#DIV/0!</v>
      </c>
      <c r="R55" s="65"/>
      <c r="S55" s="46" t="str">
        <f t="shared" si="3"/>
        <v>#DIV/0!</v>
      </c>
      <c r="T55" s="65" t="str">
        <f t="shared" ref="T55:AE55" si="33">($D55/$D$79)*T$9</f>
        <v>#DIV/0!</v>
      </c>
      <c r="U55" s="65" t="str">
        <f t="shared" si="33"/>
        <v>#DIV/0!</v>
      </c>
      <c r="V55" s="65" t="str">
        <f t="shared" si="33"/>
        <v>#DIV/0!</v>
      </c>
      <c r="W55" s="65" t="str">
        <f t="shared" si="33"/>
        <v>#DIV/0!</v>
      </c>
      <c r="X55" s="65" t="str">
        <f t="shared" si="33"/>
        <v>#DIV/0!</v>
      </c>
      <c r="Y55" s="65" t="str">
        <f t="shared" si="33"/>
        <v>#DIV/0!</v>
      </c>
      <c r="Z55" s="65" t="str">
        <f t="shared" si="33"/>
        <v>#DIV/0!</v>
      </c>
      <c r="AA55" s="65" t="str">
        <f t="shared" si="33"/>
        <v>#DIV/0!</v>
      </c>
      <c r="AB55" s="65" t="str">
        <f t="shared" si="33"/>
        <v>#DIV/0!</v>
      </c>
      <c r="AC55" s="65" t="str">
        <f t="shared" si="33"/>
        <v>#DIV/0!</v>
      </c>
      <c r="AD55" s="65" t="str">
        <f t="shared" si="33"/>
        <v>#DIV/0!</v>
      </c>
      <c r="AE55" s="65" t="str">
        <f t="shared" si="33"/>
        <v>#DIV/0!</v>
      </c>
      <c r="AF55" s="65"/>
      <c r="AG55" s="65"/>
      <c r="AH55" s="65"/>
      <c r="AI55" s="46" t="str">
        <f t="shared" si="8"/>
        <v>#DIV/0!</v>
      </c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46"/>
      <c r="AZ55" s="46"/>
      <c r="BA55" s="2"/>
      <c r="BB55" s="82"/>
      <c r="BC55" s="77"/>
      <c r="BD55" s="77"/>
      <c r="BE55" s="77"/>
      <c r="BF55" s="77"/>
      <c r="BG55" s="77"/>
      <c r="BH55" s="77"/>
      <c r="BI55" s="77"/>
      <c r="BJ55" s="77"/>
      <c r="BK55" s="77"/>
      <c r="BL55" s="77"/>
      <c r="BM55" s="77"/>
      <c r="BN55" s="77"/>
      <c r="BO55" s="77"/>
      <c r="BP55" s="77"/>
      <c r="BQ55" s="77"/>
      <c r="BR55" s="77"/>
      <c r="BS55" s="77"/>
      <c r="BT55" s="77"/>
      <c r="BU55" s="77"/>
      <c r="BV55" s="77"/>
      <c r="BW55" s="77"/>
      <c r="BX55" s="77"/>
      <c r="BY55" s="77"/>
      <c r="BZ55" s="77"/>
      <c r="CA55" s="77"/>
      <c r="CB55" s="77"/>
    </row>
    <row r="56">
      <c r="A56" s="54">
        <v>7.0</v>
      </c>
      <c r="B56" s="18" t="s">
        <v>119</v>
      </c>
      <c r="C56" s="18" t="s">
        <v>113</v>
      </c>
      <c r="D56" s="92"/>
      <c r="E56" s="56"/>
      <c r="F56" s="57"/>
      <c r="G56" s="92"/>
      <c r="H56" s="56"/>
      <c r="I56" s="56"/>
      <c r="J56" s="55"/>
      <c r="K56" s="55"/>
      <c r="L56" s="55"/>
      <c r="M56" s="55"/>
      <c r="N56" s="55"/>
      <c r="O56" s="67"/>
      <c r="P56" s="62" t="str">
        <f t="shared" si="27"/>
        <v>#DIV/0!</v>
      </c>
      <c r="Q56" s="62" t="str">
        <f t="shared" si="28"/>
        <v>#DIV/0!</v>
      </c>
      <c r="R56" s="65"/>
      <c r="S56" s="46" t="str">
        <f t="shared" si="3"/>
        <v>#DIV/0!</v>
      </c>
      <c r="T56" s="65" t="str">
        <f t="shared" ref="T56:AE56" si="34">($D56/$D$79)*T$9</f>
        <v>#DIV/0!</v>
      </c>
      <c r="U56" s="65" t="str">
        <f t="shared" si="34"/>
        <v>#DIV/0!</v>
      </c>
      <c r="V56" s="65" t="str">
        <f t="shared" si="34"/>
        <v>#DIV/0!</v>
      </c>
      <c r="W56" s="65" t="str">
        <f t="shared" si="34"/>
        <v>#DIV/0!</v>
      </c>
      <c r="X56" s="65" t="str">
        <f t="shared" si="34"/>
        <v>#DIV/0!</v>
      </c>
      <c r="Y56" s="65" t="str">
        <f t="shared" si="34"/>
        <v>#DIV/0!</v>
      </c>
      <c r="Z56" s="65" t="str">
        <f t="shared" si="34"/>
        <v>#DIV/0!</v>
      </c>
      <c r="AA56" s="65" t="str">
        <f t="shared" si="34"/>
        <v>#DIV/0!</v>
      </c>
      <c r="AB56" s="65" t="str">
        <f t="shared" si="34"/>
        <v>#DIV/0!</v>
      </c>
      <c r="AC56" s="65" t="str">
        <f t="shared" si="34"/>
        <v>#DIV/0!</v>
      </c>
      <c r="AD56" s="65" t="str">
        <f t="shared" si="34"/>
        <v>#DIV/0!</v>
      </c>
      <c r="AE56" s="65" t="str">
        <f t="shared" si="34"/>
        <v>#DIV/0!</v>
      </c>
      <c r="AF56" s="65"/>
      <c r="AG56" s="65"/>
      <c r="AH56" s="65"/>
      <c r="AI56" s="46" t="str">
        <f t="shared" si="8"/>
        <v>#DIV/0!</v>
      </c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46"/>
      <c r="AZ56" s="46"/>
      <c r="BA56" s="2"/>
      <c r="BB56" s="82"/>
      <c r="BC56" s="77"/>
      <c r="BD56" s="77"/>
      <c r="BE56" s="77"/>
      <c r="BF56" s="77"/>
      <c r="BG56" s="77"/>
      <c r="BH56" s="77"/>
      <c r="BI56" s="77"/>
      <c r="BJ56" s="77"/>
      <c r="BK56" s="77"/>
      <c r="BL56" s="77"/>
      <c r="BM56" s="77"/>
      <c r="BN56" s="77"/>
      <c r="BO56" s="77"/>
      <c r="BP56" s="77"/>
      <c r="BQ56" s="77"/>
      <c r="BR56" s="77"/>
      <c r="BS56" s="77"/>
      <c r="BT56" s="77"/>
      <c r="BU56" s="77"/>
      <c r="BV56" s="77"/>
      <c r="BW56" s="77"/>
      <c r="BX56" s="77"/>
      <c r="BY56" s="77"/>
      <c r="BZ56" s="77"/>
      <c r="CA56" s="77"/>
      <c r="CB56" s="77"/>
    </row>
    <row r="57">
      <c r="A57" s="54">
        <v>8.0</v>
      </c>
      <c r="B57" s="18" t="s">
        <v>120</v>
      </c>
      <c r="C57" s="18" t="s">
        <v>113</v>
      </c>
      <c r="D57" s="92"/>
      <c r="E57" s="56"/>
      <c r="F57" s="57"/>
      <c r="G57" s="92"/>
      <c r="H57" s="56"/>
      <c r="I57" s="56"/>
      <c r="J57" s="55"/>
      <c r="K57" s="55"/>
      <c r="L57" s="55"/>
      <c r="M57" s="55"/>
      <c r="N57" s="55"/>
      <c r="O57" s="67"/>
      <c r="P57" s="62" t="str">
        <f t="shared" si="27"/>
        <v>#DIV/0!</v>
      </c>
      <c r="Q57" s="62" t="str">
        <f t="shared" si="28"/>
        <v>#DIV/0!</v>
      </c>
      <c r="R57" s="65"/>
      <c r="S57" s="46" t="str">
        <f t="shared" si="3"/>
        <v>#DIV/0!</v>
      </c>
      <c r="T57" s="65" t="str">
        <f t="shared" ref="T57:AE57" si="35">($D57/$D$79)*T$9</f>
        <v>#DIV/0!</v>
      </c>
      <c r="U57" s="65" t="str">
        <f t="shared" si="35"/>
        <v>#DIV/0!</v>
      </c>
      <c r="V57" s="65" t="str">
        <f t="shared" si="35"/>
        <v>#DIV/0!</v>
      </c>
      <c r="W57" s="65" t="str">
        <f t="shared" si="35"/>
        <v>#DIV/0!</v>
      </c>
      <c r="X57" s="65" t="str">
        <f t="shared" si="35"/>
        <v>#DIV/0!</v>
      </c>
      <c r="Y57" s="65" t="str">
        <f t="shared" si="35"/>
        <v>#DIV/0!</v>
      </c>
      <c r="Z57" s="65" t="str">
        <f t="shared" si="35"/>
        <v>#DIV/0!</v>
      </c>
      <c r="AA57" s="65" t="str">
        <f t="shared" si="35"/>
        <v>#DIV/0!</v>
      </c>
      <c r="AB57" s="65" t="str">
        <f t="shared" si="35"/>
        <v>#DIV/0!</v>
      </c>
      <c r="AC57" s="65" t="str">
        <f t="shared" si="35"/>
        <v>#DIV/0!</v>
      </c>
      <c r="AD57" s="65" t="str">
        <f t="shared" si="35"/>
        <v>#DIV/0!</v>
      </c>
      <c r="AE57" s="65" t="str">
        <f t="shared" si="35"/>
        <v>#DIV/0!</v>
      </c>
      <c r="AF57" s="65"/>
      <c r="AG57" s="65"/>
      <c r="AH57" s="65"/>
      <c r="AI57" s="46" t="str">
        <f t="shared" si="8"/>
        <v>#DIV/0!</v>
      </c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46"/>
      <c r="AZ57" s="46"/>
      <c r="BA57" s="2"/>
      <c r="BB57" s="82"/>
      <c r="BC57" s="77"/>
      <c r="BD57" s="77"/>
      <c r="BE57" s="77"/>
      <c r="BF57" s="77"/>
      <c r="BG57" s="77"/>
      <c r="BH57" s="77"/>
      <c r="BI57" s="77"/>
      <c r="BJ57" s="77"/>
      <c r="BK57" s="77"/>
      <c r="BL57" s="77"/>
      <c r="BM57" s="77"/>
      <c r="BN57" s="77"/>
      <c r="BO57" s="77"/>
      <c r="BP57" s="77"/>
      <c r="BQ57" s="77"/>
      <c r="BR57" s="77"/>
      <c r="BS57" s="77"/>
      <c r="BT57" s="77"/>
      <c r="BU57" s="77"/>
      <c r="BV57" s="77"/>
      <c r="BW57" s="77"/>
      <c r="BX57" s="77"/>
      <c r="BY57" s="77"/>
      <c r="BZ57" s="77"/>
      <c r="CA57" s="77"/>
      <c r="CB57" s="77"/>
    </row>
    <row r="58">
      <c r="A58" s="54">
        <v>9.0</v>
      </c>
      <c r="B58" s="18" t="s">
        <v>121</v>
      </c>
      <c r="C58" s="18" t="s">
        <v>113</v>
      </c>
      <c r="D58" s="92"/>
      <c r="E58" s="56"/>
      <c r="F58" s="57"/>
      <c r="G58" s="92"/>
      <c r="H58" s="56"/>
      <c r="I58" s="56"/>
      <c r="J58" s="55"/>
      <c r="K58" s="55"/>
      <c r="L58" s="55"/>
      <c r="M58" s="55"/>
      <c r="N58" s="55"/>
      <c r="O58" s="67"/>
      <c r="P58" s="62" t="str">
        <f t="shared" si="27"/>
        <v>#DIV/0!</v>
      </c>
      <c r="Q58" s="62" t="str">
        <f t="shared" si="28"/>
        <v>#DIV/0!</v>
      </c>
      <c r="R58" s="65"/>
      <c r="S58" s="46" t="str">
        <f t="shared" si="3"/>
        <v>#DIV/0!</v>
      </c>
      <c r="T58" s="65" t="str">
        <f t="shared" ref="T58:AE58" si="36">($D58/$D$79)*T$9</f>
        <v>#DIV/0!</v>
      </c>
      <c r="U58" s="65" t="str">
        <f t="shared" si="36"/>
        <v>#DIV/0!</v>
      </c>
      <c r="V58" s="65" t="str">
        <f t="shared" si="36"/>
        <v>#DIV/0!</v>
      </c>
      <c r="W58" s="65" t="str">
        <f t="shared" si="36"/>
        <v>#DIV/0!</v>
      </c>
      <c r="X58" s="65" t="str">
        <f t="shared" si="36"/>
        <v>#DIV/0!</v>
      </c>
      <c r="Y58" s="65" t="str">
        <f t="shared" si="36"/>
        <v>#DIV/0!</v>
      </c>
      <c r="Z58" s="65" t="str">
        <f t="shared" si="36"/>
        <v>#DIV/0!</v>
      </c>
      <c r="AA58" s="65" t="str">
        <f t="shared" si="36"/>
        <v>#DIV/0!</v>
      </c>
      <c r="AB58" s="65" t="str">
        <f t="shared" si="36"/>
        <v>#DIV/0!</v>
      </c>
      <c r="AC58" s="65" t="str">
        <f t="shared" si="36"/>
        <v>#DIV/0!</v>
      </c>
      <c r="AD58" s="65" t="str">
        <f t="shared" si="36"/>
        <v>#DIV/0!</v>
      </c>
      <c r="AE58" s="65" t="str">
        <f t="shared" si="36"/>
        <v>#DIV/0!</v>
      </c>
      <c r="AF58" s="65"/>
      <c r="AG58" s="65"/>
      <c r="AH58" s="65"/>
      <c r="AI58" s="46" t="str">
        <f t="shared" si="8"/>
        <v>#DIV/0!</v>
      </c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46"/>
      <c r="AZ58" s="46"/>
      <c r="BA58" s="2"/>
      <c r="BB58" s="82"/>
      <c r="BC58" s="77"/>
      <c r="BD58" s="77"/>
      <c r="BE58" s="77"/>
      <c r="BF58" s="77"/>
      <c r="BG58" s="77"/>
      <c r="BH58" s="77"/>
      <c r="BI58" s="77"/>
      <c r="BJ58" s="77"/>
      <c r="BK58" s="77"/>
      <c r="BL58" s="77"/>
      <c r="BM58" s="77"/>
      <c r="BN58" s="77"/>
      <c r="BO58" s="77"/>
      <c r="BP58" s="77"/>
      <c r="BQ58" s="77"/>
      <c r="BR58" s="77"/>
      <c r="BS58" s="77"/>
      <c r="BT58" s="77"/>
      <c r="BU58" s="77"/>
      <c r="BV58" s="77"/>
      <c r="BW58" s="77"/>
      <c r="BX58" s="77"/>
      <c r="BY58" s="77"/>
      <c r="BZ58" s="77"/>
      <c r="CA58" s="77"/>
      <c r="CB58" s="77"/>
    </row>
    <row r="59">
      <c r="A59" s="54">
        <v>10.0</v>
      </c>
      <c r="B59" s="18" t="s">
        <v>122</v>
      </c>
      <c r="C59" s="18" t="s">
        <v>113</v>
      </c>
      <c r="D59" s="92"/>
      <c r="E59" s="56"/>
      <c r="F59" s="57"/>
      <c r="G59" s="92"/>
      <c r="H59" s="56"/>
      <c r="I59" s="56"/>
      <c r="J59" s="55"/>
      <c r="K59" s="55"/>
      <c r="L59" s="55"/>
      <c r="M59" s="55"/>
      <c r="N59" s="55"/>
      <c r="O59" s="67"/>
      <c r="P59" s="62" t="str">
        <f t="shared" si="27"/>
        <v>#DIV/0!</v>
      </c>
      <c r="Q59" s="62" t="str">
        <f t="shared" si="28"/>
        <v>#DIV/0!</v>
      </c>
      <c r="R59" s="65"/>
      <c r="S59" s="46" t="str">
        <f t="shared" si="3"/>
        <v>#DIV/0!</v>
      </c>
      <c r="T59" s="65" t="str">
        <f t="shared" ref="T59:AE59" si="37">($D59/$D$79)*T$9</f>
        <v>#DIV/0!</v>
      </c>
      <c r="U59" s="65" t="str">
        <f t="shared" si="37"/>
        <v>#DIV/0!</v>
      </c>
      <c r="V59" s="65" t="str">
        <f t="shared" si="37"/>
        <v>#DIV/0!</v>
      </c>
      <c r="W59" s="65" t="str">
        <f t="shared" si="37"/>
        <v>#DIV/0!</v>
      </c>
      <c r="X59" s="65" t="str">
        <f t="shared" si="37"/>
        <v>#DIV/0!</v>
      </c>
      <c r="Y59" s="65" t="str">
        <f t="shared" si="37"/>
        <v>#DIV/0!</v>
      </c>
      <c r="Z59" s="65" t="str">
        <f t="shared" si="37"/>
        <v>#DIV/0!</v>
      </c>
      <c r="AA59" s="65" t="str">
        <f t="shared" si="37"/>
        <v>#DIV/0!</v>
      </c>
      <c r="AB59" s="65" t="str">
        <f t="shared" si="37"/>
        <v>#DIV/0!</v>
      </c>
      <c r="AC59" s="65" t="str">
        <f t="shared" si="37"/>
        <v>#DIV/0!</v>
      </c>
      <c r="AD59" s="65" t="str">
        <f t="shared" si="37"/>
        <v>#DIV/0!</v>
      </c>
      <c r="AE59" s="65" t="str">
        <f t="shared" si="37"/>
        <v>#DIV/0!</v>
      </c>
      <c r="AF59" s="65"/>
      <c r="AG59" s="65"/>
      <c r="AH59" s="65"/>
      <c r="AI59" s="46" t="str">
        <f t="shared" si="8"/>
        <v>#DIV/0!</v>
      </c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46"/>
      <c r="AZ59" s="46"/>
      <c r="BA59" s="2"/>
      <c r="BB59" s="82"/>
      <c r="BC59" s="77"/>
      <c r="BD59" s="77"/>
      <c r="BE59" s="77"/>
      <c r="BF59" s="77"/>
      <c r="BG59" s="77"/>
      <c r="BH59" s="77"/>
      <c r="BI59" s="77"/>
      <c r="BJ59" s="77"/>
      <c r="BK59" s="77"/>
      <c r="BL59" s="77"/>
      <c r="BM59" s="77"/>
      <c r="BN59" s="77"/>
      <c r="BO59" s="77"/>
      <c r="BP59" s="77"/>
      <c r="BQ59" s="77"/>
      <c r="BR59" s="77"/>
      <c r="BS59" s="77"/>
      <c r="BT59" s="77"/>
      <c r="BU59" s="77"/>
      <c r="BV59" s="77"/>
      <c r="BW59" s="77"/>
      <c r="BX59" s="77"/>
      <c r="BY59" s="77"/>
      <c r="BZ59" s="77"/>
      <c r="CA59" s="77"/>
      <c r="CB59" s="77"/>
    </row>
    <row r="60">
      <c r="A60" s="54">
        <v>11.0</v>
      </c>
      <c r="B60" s="18" t="s">
        <v>123</v>
      </c>
      <c r="C60" s="18" t="s">
        <v>113</v>
      </c>
      <c r="D60" s="92"/>
      <c r="E60" s="56"/>
      <c r="F60" s="57"/>
      <c r="G60" s="92"/>
      <c r="H60" s="56"/>
      <c r="I60" s="56"/>
      <c r="J60" s="55"/>
      <c r="K60" s="55"/>
      <c r="L60" s="55"/>
      <c r="M60" s="55"/>
      <c r="N60" s="55"/>
      <c r="O60" s="67"/>
      <c r="P60" s="62" t="str">
        <f t="shared" si="27"/>
        <v>#DIV/0!</v>
      </c>
      <c r="Q60" s="62" t="str">
        <f t="shared" si="28"/>
        <v>#DIV/0!</v>
      </c>
      <c r="R60" s="65"/>
      <c r="S60" s="46" t="str">
        <f t="shared" si="3"/>
        <v>#DIV/0!</v>
      </c>
      <c r="T60" s="65" t="str">
        <f t="shared" ref="T60:AE60" si="38">($D60/$D$79)*T$9</f>
        <v>#DIV/0!</v>
      </c>
      <c r="U60" s="65" t="str">
        <f t="shared" si="38"/>
        <v>#DIV/0!</v>
      </c>
      <c r="V60" s="65" t="str">
        <f t="shared" si="38"/>
        <v>#DIV/0!</v>
      </c>
      <c r="W60" s="65" t="str">
        <f t="shared" si="38"/>
        <v>#DIV/0!</v>
      </c>
      <c r="X60" s="65" t="str">
        <f t="shared" si="38"/>
        <v>#DIV/0!</v>
      </c>
      <c r="Y60" s="65" t="str">
        <f t="shared" si="38"/>
        <v>#DIV/0!</v>
      </c>
      <c r="Z60" s="65" t="str">
        <f t="shared" si="38"/>
        <v>#DIV/0!</v>
      </c>
      <c r="AA60" s="65" t="str">
        <f t="shared" si="38"/>
        <v>#DIV/0!</v>
      </c>
      <c r="AB60" s="65" t="str">
        <f t="shared" si="38"/>
        <v>#DIV/0!</v>
      </c>
      <c r="AC60" s="65" t="str">
        <f t="shared" si="38"/>
        <v>#DIV/0!</v>
      </c>
      <c r="AD60" s="65" t="str">
        <f t="shared" si="38"/>
        <v>#DIV/0!</v>
      </c>
      <c r="AE60" s="65" t="str">
        <f t="shared" si="38"/>
        <v>#DIV/0!</v>
      </c>
      <c r="AF60" s="65"/>
      <c r="AG60" s="65"/>
      <c r="AH60" s="65"/>
      <c r="AI60" s="46" t="str">
        <f t="shared" si="8"/>
        <v>#DIV/0!</v>
      </c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46"/>
      <c r="AZ60" s="46"/>
      <c r="BA60" s="2"/>
      <c r="BB60" s="82"/>
      <c r="BC60" s="77"/>
      <c r="BD60" s="77"/>
      <c r="BE60" s="77"/>
      <c r="BF60" s="77"/>
      <c r="BG60" s="77"/>
      <c r="BH60" s="77"/>
      <c r="BI60" s="77"/>
      <c r="BJ60" s="77"/>
      <c r="BK60" s="77"/>
      <c r="BL60" s="77"/>
      <c r="BM60" s="77"/>
      <c r="BN60" s="77"/>
      <c r="BO60" s="77"/>
      <c r="BP60" s="77"/>
      <c r="BQ60" s="77"/>
      <c r="BR60" s="77"/>
      <c r="BS60" s="77"/>
      <c r="BT60" s="77"/>
      <c r="BU60" s="77"/>
      <c r="BV60" s="77"/>
      <c r="BW60" s="77"/>
      <c r="BX60" s="77"/>
      <c r="BY60" s="77"/>
      <c r="BZ60" s="77"/>
      <c r="CA60" s="77"/>
      <c r="CB60" s="77"/>
    </row>
    <row r="61">
      <c r="A61" s="54">
        <v>12.0</v>
      </c>
      <c r="B61" s="18" t="s">
        <v>124</v>
      </c>
      <c r="C61" s="18" t="s">
        <v>113</v>
      </c>
      <c r="D61" s="92"/>
      <c r="E61" s="56"/>
      <c r="F61" s="57"/>
      <c r="G61" s="92"/>
      <c r="H61" s="56"/>
      <c r="I61" s="56"/>
      <c r="J61" s="55"/>
      <c r="K61" s="55"/>
      <c r="L61" s="55"/>
      <c r="M61" s="55"/>
      <c r="N61" s="55"/>
      <c r="O61" s="67"/>
      <c r="P61" s="62" t="str">
        <f t="shared" si="27"/>
        <v>#DIV/0!</v>
      </c>
      <c r="Q61" s="62" t="str">
        <f t="shared" si="28"/>
        <v>#DIV/0!</v>
      </c>
      <c r="R61" s="65"/>
      <c r="S61" s="46" t="str">
        <f t="shared" si="3"/>
        <v>#DIV/0!</v>
      </c>
      <c r="T61" s="65" t="str">
        <f t="shared" ref="T61:AE61" si="39">($D61/$D$79)*T$9</f>
        <v>#DIV/0!</v>
      </c>
      <c r="U61" s="65" t="str">
        <f t="shared" si="39"/>
        <v>#DIV/0!</v>
      </c>
      <c r="V61" s="65" t="str">
        <f t="shared" si="39"/>
        <v>#DIV/0!</v>
      </c>
      <c r="W61" s="65" t="str">
        <f t="shared" si="39"/>
        <v>#DIV/0!</v>
      </c>
      <c r="X61" s="65" t="str">
        <f t="shared" si="39"/>
        <v>#DIV/0!</v>
      </c>
      <c r="Y61" s="65" t="str">
        <f t="shared" si="39"/>
        <v>#DIV/0!</v>
      </c>
      <c r="Z61" s="65" t="str">
        <f t="shared" si="39"/>
        <v>#DIV/0!</v>
      </c>
      <c r="AA61" s="65" t="str">
        <f t="shared" si="39"/>
        <v>#DIV/0!</v>
      </c>
      <c r="AB61" s="65" t="str">
        <f t="shared" si="39"/>
        <v>#DIV/0!</v>
      </c>
      <c r="AC61" s="65" t="str">
        <f t="shared" si="39"/>
        <v>#DIV/0!</v>
      </c>
      <c r="AD61" s="65" t="str">
        <f t="shared" si="39"/>
        <v>#DIV/0!</v>
      </c>
      <c r="AE61" s="65" t="str">
        <f t="shared" si="39"/>
        <v>#DIV/0!</v>
      </c>
      <c r="AF61" s="65"/>
      <c r="AG61" s="65"/>
      <c r="AH61" s="65"/>
      <c r="AI61" s="46" t="str">
        <f t="shared" si="8"/>
        <v>#DIV/0!</v>
      </c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46"/>
      <c r="AZ61" s="46"/>
      <c r="BA61" s="2"/>
      <c r="BB61" s="82"/>
      <c r="BC61" s="77"/>
      <c r="BD61" s="77"/>
      <c r="BE61" s="77"/>
      <c r="BF61" s="77"/>
      <c r="BG61" s="77"/>
      <c r="BH61" s="77"/>
      <c r="BI61" s="77"/>
      <c r="BJ61" s="77"/>
      <c r="BK61" s="77"/>
      <c r="BL61" s="77"/>
      <c r="BM61" s="77"/>
      <c r="BN61" s="77"/>
      <c r="BO61" s="77"/>
      <c r="BP61" s="77"/>
      <c r="BQ61" s="77"/>
      <c r="BR61" s="77"/>
      <c r="BS61" s="77"/>
      <c r="BT61" s="77"/>
      <c r="BU61" s="77"/>
      <c r="BV61" s="77"/>
      <c r="BW61" s="77"/>
      <c r="BX61" s="77"/>
      <c r="BY61" s="77"/>
      <c r="BZ61" s="77"/>
      <c r="CA61" s="77"/>
      <c r="CB61" s="77"/>
    </row>
    <row r="62">
      <c r="A62" s="54">
        <v>13.0</v>
      </c>
      <c r="B62" s="18" t="s">
        <v>125</v>
      </c>
      <c r="C62" s="18" t="s">
        <v>113</v>
      </c>
      <c r="D62" s="92"/>
      <c r="E62" s="56"/>
      <c r="F62" s="57"/>
      <c r="G62" s="92"/>
      <c r="H62" s="56"/>
      <c r="I62" s="56"/>
      <c r="J62" s="55"/>
      <c r="K62" s="55"/>
      <c r="L62" s="55"/>
      <c r="M62" s="55"/>
      <c r="N62" s="55"/>
      <c r="O62" s="67"/>
      <c r="P62" s="62" t="str">
        <f t="shared" si="27"/>
        <v>#DIV/0!</v>
      </c>
      <c r="Q62" s="62" t="str">
        <f t="shared" si="28"/>
        <v>#DIV/0!</v>
      </c>
      <c r="R62" s="65"/>
      <c r="S62" s="46" t="str">
        <f t="shared" si="3"/>
        <v>#DIV/0!</v>
      </c>
      <c r="T62" s="65" t="str">
        <f t="shared" ref="T62:AE62" si="40">($D62/$D$79)*T$9</f>
        <v>#DIV/0!</v>
      </c>
      <c r="U62" s="65" t="str">
        <f t="shared" si="40"/>
        <v>#DIV/0!</v>
      </c>
      <c r="V62" s="65" t="str">
        <f t="shared" si="40"/>
        <v>#DIV/0!</v>
      </c>
      <c r="W62" s="65" t="str">
        <f t="shared" si="40"/>
        <v>#DIV/0!</v>
      </c>
      <c r="X62" s="65" t="str">
        <f t="shared" si="40"/>
        <v>#DIV/0!</v>
      </c>
      <c r="Y62" s="65" t="str">
        <f t="shared" si="40"/>
        <v>#DIV/0!</v>
      </c>
      <c r="Z62" s="65" t="str">
        <f t="shared" si="40"/>
        <v>#DIV/0!</v>
      </c>
      <c r="AA62" s="65" t="str">
        <f t="shared" si="40"/>
        <v>#DIV/0!</v>
      </c>
      <c r="AB62" s="65" t="str">
        <f t="shared" si="40"/>
        <v>#DIV/0!</v>
      </c>
      <c r="AC62" s="65" t="str">
        <f t="shared" si="40"/>
        <v>#DIV/0!</v>
      </c>
      <c r="AD62" s="65" t="str">
        <f t="shared" si="40"/>
        <v>#DIV/0!</v>
      </c>
      <c r="AE62" s="65" t="str">
        <f t="shared" si="40"/>
        <v>#DIV/0!</v>
      </c>
      <c r="AF62" s="65"/>
      <c r="AG62" s="65"/>
      <c r="AH62" s="65"/>
      <c r="AI62" s="46" t="str">
        <f t="shared" si="8"/>
        <v>#DIV/0!</v>
      </c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46"/>
      <c r="AZ62" s="46"/>
      <c r="BA62" s="2"/>
      <c r="BB62" s="82"/>
      <c r="BC62" s="77"/>
      <c r="BD62" s="77"/>
      <c r="BE62" s="77"/>
      <c r="BF62" s="77"/>
      <c r="BG62" s="77"/>
      <c r="BH62" s="77"/>
      <c r="BI62" s="77"/>
      <c r="BJ62" s="77"/>
      <c r="BK62" s="77"/>
      <c r="BL62" s="77"/>
      <c r="BM62" s="77"/>
      <c r="BN62" s="77"/>
      <c r="BO62" s="77"/>
      <c r="BP62" s="77"/>
      <c r="BQ62" s="77"/>
      <c r="BR62" s="77"/>
      <c r="BS62" s="77"/>
      <c r="BT62" s="77"/>
      <c r="BU62" s="77"/>
      <c r="BV62" s="77"/>
      <c r="BW62" s="77"/>
      <c r="BX62" s="77"/>
      <c r="BY62" s="77"/>
      <c r="BZ62" s="77"/>
      <c r="CA62" s="77"/>
      <c r="CB62" s="77"/>
    </row>
    <row r="63">
      <c r="A63" s="54">
        <v>14.0</v>
      </c>
      <c r="B63" s="18" t="s">
        <v>126</v>
      </c>
      <c r="C63" s="18" t="s">
        <v>113</v>
      </c>
      <c r="D63" s="92"/>
      <c r="E63" s="56"/>
      <c r="F63" s="57"/>
      <c r="G63" s="92"/>
      <c r="H63" s="56"/>
      <c r="I63" s="56"/>
      <c r="J63" s="55"/>
      <c r="K63" s="55"/>
      <c r="L63" s="55"/>
      <c r="M63" s="55"/>
      <c r="N63" s="55"/>
      <c r="O63" s="67"/>
      <c r="P63" s="62" t="str">
        <f t="shared" si="27"/>
        <v>#DIV/0!</v>
      </c>
      <c r="Q63" s="62" t="str">
        <f t="shared" si="28"/>
        <v>#DIV/0!</v>
      </c>
      <c r="R63" s="65"/>
      <c r="S63" s="46" t="str">
        <f t="shared" si="3"/>
        <v>#DIV/0!</v>
      </c>
      <c r="T63" s="65" t="str">
        <f t="shared" ref="T63:AE63" si="41">($D63/$D$79)*T$9</f>
        <v>#DIV/0!</v>
      </c>
      <c r="U63" s="65" t="str">
        <f t="shared" si="41"/>
        <v>#DIV/0!</v>
      </c>
      <c r="V63" s="65" t="str">
        <f t="shared" si="41"/>
        <v>#DIV/0!</v>
      </c>
      <c r="W63" s="65" t="str">
        <f t="shared" si="41"/>
        <v>#DIV/0!</v>
      </c>
      <c r="X63" s="65" t="str">
        <f t="shared" si="41"/>
        <v>#DIV/0!</v>
      </c>
      <c r="Y63" s="65" t="str">
        <f t="shared" si="41"/>
        <v>#DIV/0!</v>
      </c>
      <c r="Z63" s="65" t="str">
        <f t="shared" si="41"/>
        <v>#DIV/0!</v>
      </c>
      <c r="AA63" s="65" t="str">
        <f t="shared" si="41"/>
        <v>#DIV/0!</v>
      </c>
      <c r="AB63" s="65" t="str">
        <f t="shared" si="41"/>
        <v>#DIV/0!</v>
      </c>
      <c r="AC63" s="65" t="str">
        <f t="shared" si="41"/>
        <v>#DIV/0!</v>
      </c>
      <c r="AD63" s="65" t="str">
        <f t="shared" si="41"/>
        <v>#DIV/0!</v>
      </c>
      <c r="AE63" s="65" t="str">
        <f t="shared" si="41"/>
        <v>#DIV/0!</v>
      </c>
      <c r="AF63" s="65"/>
      <c r="AG63" s="65"/>
      <c r="AH63" s="65"/>
      <c r="AI63" s="46" t="str">
        <f t="shared" si="8"/>
        <v>#DIV/0!</v>
      </c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46"/>
      <c r="AZ63" s="46"/>
      <c r="BA63" s="2"/>
      <c r="BB63" s="82"/>
      <c r="BC63" s="77"/>
      <c r="BD63" s="77"/>
      <c r="BE63" s="77"/>
      <c r="BF63" s="77"/>
      <c r="BG63" s="77"/>
      <c r="BH63" s="77"/>
      <c r="BI63" s="77"/>
      <c r="BJ63" s="77"/>
      <c r="BK63" s="77"/>
      <c r="BL63" s="77"/>
      <c r="BM63" s="77"/>
      <c r="BN63" s="77"/>
      <c r="BO63" s="77"/>
      <c r="BP63" s="77"/>
      <c r="BQ63" s="77"/>
      <c r="BR63" s="77"/>
      <c r="BS63" s="77"/>
      <c r="BT63" s="77"/>
      <c r="BU63" s="77"/>
      <c r="BV63" s="77"/>
      <c r="BW63" s="77"/>
      <c r="BX63" s="77"/>
      <c r="BY63" s="77"/>
      <c r="BZ63" s="77"/>
      <c r="CA63" s="77"/>
      <c r="CB63" s="77"/>
    </row>
    <row r="64">
      <c r="A64" s="54">
        <v>15.0</v>
      </c>
      <c r="B64" s="18" t="s">
        <v>127</v>
      </c>
      <c r="C64" s="18" t="s">
        <v>113</v>
      </c>
      <c r="D64" s="92"/>
      <c r="E64" s="56"/>
      <c r="F64" s="57"/>
      <c r="G64" s="92"/>
      <c r="H64" s="56"/>
      <c r="I64" s="56"/>
      <c r="J64" s="55"/>
      <c r="K64" s="55"/>
      <c r="L64" s="55"/>
      <c r="M64" s="55"/>
      <c r="N64" s="55"/>
      <c r="O64" s="67"/>
      <c r="P64" s="62" t="str">
        <f t="shared" si="27"/>
        <v>#DIV/0!</v>
      </c>
      <c r="Q64" s="62" t="str">
        <f t="shared" si="28"/>
        <v>#DIV/0!</v>
      </c>
      <c r="R64" s="65"/>
      <c r="S64" s="46" t="str">
        <f t="shared" si="3"/>
        <v>#DIV/0!</v>
      </c>
      <c r="T64" s="65" t="str">
        <f t="shared" ref="T64:AE64" si="42">($D64/$D$79)*T$9</f>
        <v>#DIV/0!</v>
      </c>
      <c r="U64" s="65" t="str">
        <f t="shared" si="42"/>
        <v>#DIV/0!</v>
      </c>
      <c r="V64" s="65" t="str">
        <f t="shared" si="42"/>
        <v>#DIV/0!</v>
      </c>
      <c r="W64" s="65" t="str">
        <f t="shared" si="42"/>
        <v>#DIV/0!</v>
      </c>
      <c r="X64" s="65" t="str">
        <f t="shared" si="42"/>
        <v>#DIV/0!</v>
      </c>
      <c r="Y64" s="65" t="str">
        <f t="shared" si="42"/>
        <v>#DIV/0!</v>
      </c>
      <c r="Z64" s="65" t="str">
        <f t="shared" si="42"/>
        <v>#DIV/0!</v>
      </c>
      <c r="AA64" s="65" t="str">
        <f t="shared" si="42"/>
        <v>#DIV/0!</v>
      </c>
      <c r="AB64" s="65" t="str">
        <f t="shared" si="42"/>
        <v>#DIV/0!</v>
      </c>
      <c r="AC64" s="65" t="str">
        <f t="shared" si="42"/>
        <v>#DIV/0!</v>
      </c>
      <c r="AD64" s="65" t="str">
        <f t="shared" si="42"/>
        <v>#DIV/0!</v>
      </c>
      <c r="AE64" s="65" t="str">
        <f t="shared" si="42"/>
        <v>#DIV/0!</v>
      </c>
      <c r="AF64" s="65"/>
      <c r="AG64" s="65"/>
      <c r="AH64" s="65"/>
      <c r="AI64" s="46" t="str">
        <f t="shared" si="8"/>
        <v>#DIV/0!</v>
      </c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46"/>
      <c r="AZ64" s="46"/>
      <c r="BA64" s="2"/>
      <c r="BB64" s="82"/>
      <c r="BC64" s="77"/>
      <c r="BD64" s="77"/>
      <c r="BE64" s="77"/>
      <c r="BF64" s="77"/>
      <c r="BG64" s="77"/>
      <c r="BH64" s="77"/>
      <c r="BI64" s="77"/>
      <c r="BJ64" s="77"/>
      <c r="BK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  <c r="BV64" s="77"/>
      <c r="BW64" s="77"/>
      <c r="BX64" s="77"/>
      <c r="BY64" s="77"/>
      <c r="BZ64" s="77"/>
      <c r="CA64" s="77"/>
      <c r="CB64" s="77"/>
    </row>
    <row r="65">
      <c r="A65" s="54"/>
      <c r="B65" s="18" t="s">
        <v>78</v>
      </c>
      <c r="C65" s="18"/>
      <c r="D65" s="55"/>
      <c r="E65" s="78"/>
      <c r="F65" s="55"/>
      <c r="G65" s="92"/>
      <c r="H65" s="78"/>
      <c r="I65" s="78"/>
      <c r="J65" s="55"/>
      <c r="K65" s="55"/>
      <c r="L65" s="55"/>
      <c r="M65" s="55"/>
      <c r="N65" s="55"/>
      <c r="O65" s="67"/>
      <c r="P65" s="62" t="str">
        <f t="shared" si="27"/>
        <v>#DIV/0!</v>
      </c>
      <c r="Q65" s="62" t="str">
        <f t="shared" si="28"/>
        <v>#DIV/0!</v>
      </c>
      <c r="R65" s="65"/>
      <c r="S65" s="46" t="str">
        <f t="shared" si="3"/>
        <v>#DIV/0!</v>
      </c>
      <c r="T65" s="65" t="str">
        <f t="shared" ref="T65:AE65" si="43">($D65/$D$79)*T$9</f>
        <v>#DIV/0!</v>
      </c>
      <c r="U65" s="65" t="str">
        <f t="shared" si="43"/>
        <v>#DIV/0!</v>
      </c>
      <c r="V65" s="65" t="str">
        <f t="shared" si="43"/>
        <v>#DIV/0!</v>
      </c>
      <c r="W65" s="65" t="str">
        <f t="shared" si="43"/>
        <v>#DIV/0!</v>
      </c>
      <c r="X65" s="65" t="str">
        <f t="shared" si="43"/>
        <v>#DIV/0!</v>
      </c>
      <c r="Y65" s="65" t="str">
        <f t="shared" si="43"/>
        <v>#DIV/0!</v>
      </c>
      <c r="Z65" s="65" t="str">
        <f t="shared" si="43"/>
        <v>#DIV/0!</v>
      </c>
      <c r="AA65" s="65" t="str">
        <f t="shared" si="43"/>
        <v>#DIV/0!</v>
      </c>
      <c r="AB65" s="65" t="str">
        <f t="shared" si="43"/>
        <v>#DIV/0!</v>
      </c>
      <c r="AC65" s="65" t="str">
        <f t="shared" si="43"/>
        <v>#DIV/0!</v>
      </c>
      <c r="AD65" s="65" t="str">
        <f t="shared" si="43"/>
        <v>#DIV/0!</v>
      </c>
      <c r="AE65" s="65" t="str">
        <f t="shared" si="43"/>
        <v>#DIV/0!</v>
      </c>
      <c r="AF65" s="65"/>
      <c r="AG65" s="65"/>
      <c r="AH65" s="65"/>
      <c r="AI65" s="46" t="str">
        <f t="shared" si="8"/>
        <v>#DIV/0!</v>
      </c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46"/>
      <c r="AZ65" s="46"/>
      <c r="BA65" s="2"/>
      <c r="BB65" s="82"/>
      <c r="BC65" s="77"/>
      <c r="BD65" s="77"/>
      <c r="BE65" s="77"/>
      <c r="BF65" s="77"/>
      <c r="BG65" s="77"/>
      <c r="BH65" s="77"/>
      <c r="BI65" s="77"/>
      <c r="BJ65" s="77"/>
      <c r="BK65" s="77"/>
      <c r="BL65" s="77"/>
      <c r="BM65" s="77"/>
      <c r="BN65" s="77"/>
      <c r="BO65" s="77"/>
      <c r="BP65" s="77"/>
      <c r="BQ65" s="77"/>
      <c r="BR65" s="77"/>
      <c r="BS65" s="77"/>
      <c r="BT65" s="77"/>
      <c r="BU65" s="77"/>
      <c r="BV65" s="77"/>
      <c r="BW65" s="77"/>
      <c r="BX65" s="77"/>
      <c r="BY65" s="77"/>
      <c r="BZ65" s="77"/>
      <c r="CA65" s="77"/>
      <c r="CB65" s="77"/>
    </row>
    <row r="66">
      <c r="A66" s="98" t="s">
        <v>128</v>
      </c>
      <c r="B66" s="18" t="s">
        <v>129</v>
      </c>
      <c r="C66" s="18" t="s">
        <v>113</v>
      </c>
      <c r="D66" s="55"/>
      <c r="E66" s="56"/>
      <c r="F66" s="57"/>
      <c r="G66" s="92"/>
      <c r="H66" s="56"/>
      <c r="I66" s="56"/>
      <c r="J66" s="55"/>
      <c r="K66" s="55"/>
      <c r="L66" s="55"/>
      <c r="M66" s="55"/>
      <c r="N66" s="55"/>
      <c r="O66" s="67"/>
      <c r="P66" s="62" t="str">
        <f t="shared" si="27"/>
        <v>#DIV/0!</v>
      </c>
      <c r="Q66" s="62" t="str">
        <f t="shared" si="28"/>
        <v>#DIV/0!</v>
      </c>
      <c r="R66" s="65"/>
      <c r="S66" s="46" t="str">
        <f t="shared" si="3"/>
        <v>#DIV/0!</v>
      </c>
      <c r="T66" s="65" t="str">
        <f t="shared" ref="T66:AE66" si="44">($D66/$D$79)*T$9</f>
        <v>#DIV/0!</v>
      </c>
      <c r="U66" s="65" t="str">
        <f t="shared" si="44"/>
        <v>#DIV/0!</v>
      </c>
      <c r="V66" s="65" t="str">
        <f t="shared" si="44"/>
        <v>#DIV/0!</v>
      </c>
      <c r="W66" s="65" t="str">
        <f t="shared" si="44"/>
        <v>#DIV/0!</v>
      </c>
      <c r="X66" s="65" t="str">
        <f t="shared" si="44"/>
        <v>#DIV/0!</v>
      </c>
      <c r="Y66" s="65" t="str">
        <f t="shared" si="44"/>
        <v>#DIV/0!</v>
      </c>
      <c r="Z66" s="65" t="str">
        <f t="shared" si="44"/>
        <v>#DIV/0!</v>
      </c>
      <c r="AA66" s="65" t="str">
        <f t="shared" si="44"/>
        <v>#DIV/0!</v>
      </c>
      <c r="AB66" s="65" t="str">
        <f t="shared" si="44"/>
        <v>#DIV/0!</v>
      </c>
      <c r="AC66" s="65" t="str">
        <f t="shared" si="44"/>
        <v>#DIV/0!</v>
      </c>
      <c r="AD66" s="65" t="str">
        <f t="shared" si="44"/>
        <v>#DIV/0!</v>
      </c>
      <c r="AE66" s="65" t="str">
        <f t="shared" si="44"/>
        <v>#DIV/0!</v>
      </c>
      <c r="AF66" s="65"/>
      <c r="AG66" s="65"/>
      <c r="AH66" s="65"/>
      <c r="AI66" s="46" t="str">
        <f t="shared" si="8"/>
        <v>#DIV/0!</v>
      </c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46"/>
      <c r="AZ66" s="46"/>
      <c r="BA66" s="2"/>
      <c r="BB66" s="82"/>
      <c r="BC66" s="77"/>
      <c r="BD66" s="77"/>
      <c r="BE66" s="77"/>
      <c r="BF66" s="77"/>
      <c r="BG66" s="77"/>
      <c r="BH66" s="77"/>
      <c r="BI66" s="77"/>
      <c r="BJ66" s="77"/>
      <c r="BK66" s="77"/>
      <c r="BL66" s="77"/>
      <c r="BM66" s="77"/>
      <c r="BN66" s="77"/>
      <c r="BO66" s="77"/>
      <c r="BP66" s="77"/>
      <c r="BQ66" s="77"/>
      <c r="BR66" s="77"/>
      <c r="BS66" s="77"/>
      <c r="BT66" s="77"/>
      <c r="BU66" s="77"/>
      <c r="BV66" s="77"/>
      <c r="BW66" s="77"/>
      <c r="BX66" s="77"/>
      <c r="BY66" s="77"/>
      <c r="BZ66" s="77"/>
      <c r="CA66" s="77"/>
      <c r="CB66" s="77"/>
    </row>
    <row r="67">
      <c r="A67" s="98" t="s">
        <v>130</v>
      </c>
      <c r="B67" s="18" t="s">
        <v>131</v>
      </c>
      <c r="C67" s="18" t="s">
        <v>113</v>
      </c>
      <c r="D67" s="55"/>
      <c r="E67" s="56"/>
      <c r="F67" s="57"/>
      <c r="G67" s="92"/>
      <c r="H67" s="56"/>
      <c r="I67" s="56"/>
      <c r="J67" s="55"/>
      <c r="K67" s="55"/>
      <c r="L67" s="55"/>
      <c r="M67" s="55"/>
      <c r="N67" s="55"/>
      <c r="O67" s="67"/>
      <c r="P67" s="62" t="str">
        <f t="shared" si="27"/>
        <v>#DIV/0!</v>
      </c>
      <c r="Q67" s="62" t="str">
        <f t="shared" si="28"/>
        <v>#DIV/0!</v>
      </c>
      <c r="R67" s="65"/>
      <c r="S67" s="46" t="str">
        <f t="shared" si="3"/>
        <v>#DIV/0!</v>
      </c>
      <c r="T67" s="65" t="str">
        <f t="shared" ref="T67:AE67" si="45">($D67/$D$79)*T$9</f>
        <v>#DIV/0!</v>
      </c>
      <c r="U67" s="65" t="str">
        <f t="shared" si="45"/>
        <v>#DIV/0!</v>
      </c>
      <c r="V67" s="65" t="str">
        <f t="shared" si="45"/>
        <v>#DIV/0!</v>
      </c>
      <c r="W67" s="65" t="str">
        <f t="shared" si="45"/>
        <v>#DIV/0!</v>
      </c>
      <c r="X67" s="65" t="str">
        <f t="shared" si="45"/>
        <v>#DIV/0!</v>
      </c>
      <c r="Y67" s="65" t="str">
        <f t="shared" si="45"/>
        <v>#DIV/0!</v>
      </c>
      <c r="Z67" s="65" t="str">
        <f t="shared" si="45"/>
        <v>#DIV/0!</v>
      </c>
      <c r="AA67" s="65" t="str">
        <f t="shared" si="45"/>
        <v>#DIV/0!</v>
      </c>
      <c r="AB67" s="65" t="str">
        <f t="shared" si="45"/>
        <v>#DIV/0!</v>
      </c>
      <c r="AC67" s="65" t="str">
        <f t="shared" si="45"/>
        <v>#DIV/0!</v>
      </c>
      <c r="AD67" s="65" t="str">
        <f t="shared" si="45"/>
        <v>#DIV/0!</v>
      </c>
      <c r="AE67" s="65" t="str">
        <f t="shared" si="45"/>
        <v>#DIV/0!</v>
      </c>
      <c r="AF67" s="65"/>
      <c r="AG67" s="65"/>
      <c r="AH67" s="65"/>
      <c r="AI67" s="46" t="str">
        <f t="shared" si="8"/>
        <v>#DIV/0!</v>
      </c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46"/>
      <c r="AZ67" s="46"/>
      <c r="BA67" s="2"/>
      <c r="BB67" s="82"/>
      <c r="BC67" s="77"/>
      <c r="BD67" s="77"/>
      <c r="BE67" s="77"/>
      <c r="BF67" s="77"/>
      <c r="BG67" s="77"/>
      <c r="BH67" s="77"/>
      <c r="BI67" s="77"/>
      <c r="BJ67" s="77"/>
      <c r="BK67" s="77"/>
      <c r="BL67" s="77"/>
      <c r="BM67" s="77"/>
      <c r="BN67" s="77"/>
      <c r="BO67" s="77"/>
      <c r="BP67" s="77"/>
      <c r="BQ67" s="77"/>
      <c r="BR67" s="77"/>
      <c r="BS67" s="77"/>
      <c r="BT67" s="77"/>
      <c r="BU67" s="77"/>
      <c r="BV67" s="77"/>
      <c r="BW67" s="77"/>
      <c r="BX67" s="77"/>
      <c r="BY67" s="77"/>
      <c r="BZ67" s="77"/>
      <c r="CA67" s="77"/>
      <c r="CB67" s="77"/>
    </row>
    <row r="68">
      <c r="A68" s="98" t="s">
        <v>132</v>
      </c>
      <c r="B68" s="18" t="s">
        <v>133</v>
      </c>
      <c r="C68" s="18" t="s">
        <v>113</v>
      </c>
      <c r="D68" s="55"/>
      <c r="E68" s="56"/>
      <c r="F68" s="57"/>
      <c r="G68" s="99"/>
      <c r="H68" s="56"/>
      <c r="I68" s="56"/>
      <c r="J68" s="55"/>
      <c r="K68" s="55"/>
      <c r="L68" s="55"/>
      <c r="M68" s="55"/>
      <c r="N68" s="55"/>
      <c r="O68" s="67"/>
      <c r="P68" s="62" t="str">
        <f t="shared" si="27"/>
        <v>#DIV/0!</v>
      </c>
      <c r="Q68" s="62" t="str">
        <f t="shared" si="28"/>
        <v>#DIV/0!</v>
      </c>
      <c r="R68" s="65"/>
      <c r="S68" s="46" t="str">
        <f t="shared" si="3"/>
        <v>#DIV/0!</v>
      </c>
      <c r="T68" s="65" t="str">
        <f t="shared" ref="T68:AE68" si="46">($D68/$D$79)*T$9</f>
        <v>#DIV/0!</v>
      </c>
      <c r="U68" s="65" t="str">
        <f t="shared" si="46"/>
        <v>#DIV/0!</v>
      </c>
      <c r="V68" s="65" t="str">
        <f t="shared" si="46"/>
        <v>#DIV/0!</v>
      </c>
      <c r="W68" s="65" t="str">
        <f t="shared" si="46"/>
        <v>#DIV/0!</v>
      </c>
      <c r="X68" s="65" t="str">
        <f t="shared" si="46"/>
        <v>#DIV/0!</v>
      </c>
      <c r="Y68" s="65" t="str">
        <f t="shared" si="46"/>
        <v>#DIV/0!</v>
      </c>
      <c r="Z68" s="65" t="str">
        <f t="shared" si="46"/>
        <v>#DIV/0!</v>
      </c>
      <c r="AA68" s="65" t="str">
        <f t="shared" si="46"/>
        <v>#DIV/0!</v>
      </c>
      <c r="AB68" s="65" t="str">
        <f t="shared" si="46"/>
        <v>#DIV/0!</v>
      </c>
      <c r="AC68" s="65" t="str">
        <f t="shared" si="46"/>
        <v>#DIV/0!</v>
      </c>
      <c r="AD68" s="65" t="str">
        <f t="shared" si="46"/>
        <v>#DIV/0!</v>
      </c>
      <c r="AE68" s="65" t="str">
        <f t="shared" si="46"/>
        <v>#DIV/0!</v>
      </c>
      <c r="AF68" s="65"/>
      <c r="AG68" s="65"/>
      <c r="AH68" s="65"/>
      <c r="AI68" s="46" t="str">
        <f t="shared" si="8"/>
        <v>#DIV/0!</v>
      </c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46"/>
      <c r="AZ68" s="46"/>
      <c r="BA68" s="2"/>
      <c r="BB68" s="82"/>
      <c r="BC68" s="77"/>
      <c r="BD68" s="77"/>
      <c r="BE68" s="77"/>
      <c r="BF68" s="77"/>
      <c r="BG68" s="77"/>
      <c r="BH68" s="77"/>
      <c r="BI68" s="77"/>
      <c r="BJ68" s="77"/>
      <c r="BK68" s="77"/>
      <c r="BL68" s="77"/>
      <c r="BM68" s="77"/>
      <c r="BN68" s="77"/>
      <c r="BO68" s="77"/>
      <c r="BP68" s="77"/>
      <c r="BQ68" s="77"/>
      <c r="BR68" s="77"/>
      <c r="BS68" s="77"/>
      <c r="BT68" s="77"/>
      <c r="BU68" s="77"/>
      <c r="BV68" s="77"/>
      <c r="BW68" s="77"/>
      <c r="BX68" s="77"/>
      <c r="BY68" s="77"/>
      <c r="BZ68" s="77"/>
      <c r="CA68" s="77"/>
      <c r="CB68" s="77"/>
    </row>
    <row r="69">
      <c r="A69" s="98" t="s">
        <v>134</v>
      </c>
      <c r="B69" s="18" t="s">
        <v>135</v>
      </c>
      <c r="C69" s="18" t="s">
        <v>113</v>
      </c>
      <c r="D69" s="55"/>
      <c r="E69" s="56"/>
      <c r="F69" s="57"/>
      <c r="G69" s="92"/>
      <c r="H69" s="56"/>
      <c r="I69" s="56"/>
      <c r="J69" s="55"/>
      <c r="K69" s="55"/>
      <c r="L69" s="55"/>
      <c r="M69" s="55"/>
      <c r="N69" s="55"/>
      <c r="O69" s="67"/>
      <c r="P69" s="62" t="str">
        <f t="shared" si="27"/>
        <v>#DIV/0!</v>
      </c>
      <c r="Q69" s="62" t="str">
        <f t="shared" si="28"/>
        <v>#DIV/0!</v>
      </c>
      <c r="R69" s="65"/>
      <c r="S69" s="46" t="str">
        <f t="shared" si="3"/>
        <v>#DIV/0!</v>
      </c>
      <c r="T69" s="65" t="str">
        <f t="shared" ref="T69:AE69" si="47">($D69/$D$79)*T$9</f>
        <v>#DIV/0!</v>
      </c>
      <c r="U69" s="65" t="str">
        <f t="shared" si="47"/>
        <v>#DIV/0!</v>
      </c>
      <c r="V69" s="65" t="str">
        <f t="shared" si="47"/>
        <v>#DIV/0!</v>
      </c>
      <c r="W69" s="65" t="str">
        <f t="shared" si="47"/>
        <v>#DIV/0!</v>
      </c>
      <c r="X69" s="65" t="str">
        <f t="shared" si="47"/>
        <v>#DIV/0!</v>
      </c>
      <c r="Y69" s="65" t="str">
        <f t="shared" si="47"/>
        <v>#DIV/0!</v>
      </c>
      <c r="Z69" s="65" t="str">
        <f t="shared" si="47"/>
        <v>#DIV/0!</v>
      </c>
      <c r="AA69" s="65" t="str">
        <f t="shared" si="47"/>
        <v>#DIV/0!</v>
      </c>
      <c r="AB69" s="65" t="str">
        <f t="shared" si="47"/>
        <v>#DIV/0!</v>
      </c>
      <c r="AC69" s="65" t="str">
        <f t="shared" si="47"/>
        <v>#DIV/0!</v>
      </c>
      <c r="AD69" s="65" t="str">
        <f t="shared" si="47"/>
        <v>#DIV/0!</v>
      </c>
      <c r="AE69" s="65" t="str">
        <f t="shared" si="47"/>
        <v>#DIV/0!</v>
      </c>
      <c r="AF69" s="65"/>
      <c r="AG69" s="65"/>
      <c r="AH69" s="65"/>
      <c r="AI69" s="46" t="str">
        <f t="shared" si="8"/>
        <v>#DIV/0!</v>
      </c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46"/>
      <c r="AZ69" s="46"/>
      <c r="BA69" s="2"/>
      <c r="BB69" s="82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BU69" s="77"/>
      <c r="BV69" s="77"/>
      <c r="BW69" s="77"/>
      <c r="BX69" s="77"/>
      <c r="BY69" s="77"/>
      <c r="BZ69" s="77"/>
      <c r="CA69" s="77"/>
      <c r="CB69" s="77"/>
    </row>
    <row r="70">
      <c r="A70" s="98" t="s">
        <v>136</v>
      </c>
      <c r="B70" s="18" t="s">
        <v>137</v>
      </c>
      <c r="C70" s="18" t="s">
        <v>113</v>
      </c>
      <c r="D70" s="55"/>
      <c r="E70" s="56"/>
      <c r="F70" s="57"/>
      <c r="G70" s="92"/>
      <c r="H70" s="56"/>
      <c r="I70" s="56"/>
      <c r="J70" s="55"/>
      <c r="K70" s="55"/>
      <c r="L70" s="55"/>
      <c r="M70" s="55"/>
      <c r="N70" s="55"/>
      <c r="O70" s="67"/>
      <c r="P70" s="62" t="str">
        <f t="shared" si="27"/>
        <v>#DIV/0!</v>
      </c>
      <c r="Q70" s="62" t="str">
        <f t="shared" si="28"/>
        <v>#DIV/0!</v>
      </c>
      <c r="R70" s="65"/>
      <c r="S70" s="46" t="str">
        <f t="shared" si="3"/>
        <v>#DIV/0!</v>
      </c>
      <c r="T70" s="65" t="str">
        <f t="shared" ref="T70:AE70" si="48">($D70/$D$79)*T$9</f>
        <v>#DIV/0!</v>
      </c>
      <c r="U70" s="65" t="str">
        <f t="shared" si="48"/>
        <v>#DIV/0!</v>
      </c>
      <c r="V70" s="65" t="str">
        <f t="shared" si="48"/>
        <v>#DIV/0!</v>
      </c>
      <c r="W70" s="65" t="str">
        <f t="shared" si="48"/>
        <v>#DIV/0!</v>
      </c>
      <c r="X70" s="65" t="str">
        <f t="shared" si="48"/>
        <v>#DIV/0!</v>
      </c>
      <c r="Y70" s="65" t="str">
        <f t="shared" si="48"/>
        <v>#DIV/0!</v>
      </c>
      <c r="Z70" s="65" t="str">
        <f t="shared" si="48"/>
        <v>#DIV/0!</v>
      </c>
      <c r="AA70" s="65" t="str">
        <f t="shared" si="48"/>
        <v>#DIV/0!</v>
      </c>
      <c r="AB70" s="65" t="str">
        <f t="shared" si="48"/>
        <v>#DIV/0!</v>
      </c>
      <c r="AC70" s="65" t="str">
        <f t="shared" si="48"/>
        <v>#DIV/0!</v>
      </c>
      <c r="AD70" s="65" t="str">
        <f t="shared" si="48"/>
        <v>#DIV/0!</v>
      </c>
      <c r="AE70" s="65" t="str">
        <f t="shared" si="48"/>
        <v>#DIV/0!</v>
      </c>
      <c r="AF70" s="65"/>
      <c r="AG70" s="65"/>
      <c r="AH70" s="65"/>
      <c r="AI70" s="46" t="str">
        <f t="shared" si="8"/>
        <v>#DIV/0!</v>
      </c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46"/>
      <c r="AZ70" s="46"/>
      <c r="BA70" s="2"/>
      <c r="BB70" s="82"/>
      <c r="BC70" s="77"/>
      <c r="BD70" s="77"/>
      <c r="BE70" s="77"/>
      <c r="BF70" s="77"/>
      <c r="BG70" s="77"/>
      <c r="BH70" s="77"/>
      <c r="BI70" s="77"/>
      <c r="BJ70" s="77"/>
      <c r="BK70" s="77"/>
      <c r="BL70" s="77"/>
      <c r="BM70" s="77"/>
      <c r="BN70" s="77"/>
      <c r="BO70" s="77"/>
      <c r="BP70" s="77"/>
      <c r="BQ70" s="77"/>
      <c r="BR70" s="77"/>
      <c r="BS70" s="77"/>
      <c r="BT70" s="77"/>
      <c r="BU70" s="77"/>
      <c r="BV70" s="77"/>
      <c r="BW70" s="77"/>
      <c r="BX70" s="77"/>
      <c r="BY70" s="77"/>
      <c r="BZ70" s="77"/>
      <c r="CA70" s="77"/>
      <c r="CB70" s="77"/>
    </row>
    <row r="71">
      <c r="A71" s="98" t="s">
        <v>138</v>
      </c>
      <c r="B71" s="18" t="s">
        <v>139</v>
      </c>
      <c r="C71" s="18" t="s">
        <v>113</v>
      </c>
      <c r="D71" s="55"/>
      <c r="E71" s="56"/>
      <c r="F71" s="57"/>
      <c r="G71" s="92"/>
      <c r="H71" s="56"/>
      <c r="I71" s="56"/>
      <c r="J71" s="55"/>
      <c r="K71" s="55"/>
      <c r="L71" s="55"/>
      <c r="M71" s="55"/>
      <c r="N71" s="55"/>
      <c r="O71" s="67"/>
      <c r="P71" s="62" t="str">
        <f t="shared" si="27"/>
        <v>#DIV/0!</v>
      </c>
      <c r="Q71" s="62" t="str">
        <f t="shared" si="28"/>
        <v>#DIV/0!</v>
      </c>
      <c r="R71" s="65"/>
      <c r="S71" s="46" t="str">
        <f t="shared" si="3"/>
        <v>#DIV/0!</v>
      </c>
      <c r="T71" s="65" t="str">
        <f t="shared" ref="T71:AE71" si="49">($D71/$D$79)*T$9</f>
        <v>#DIV/0!</v>
      </c>
      <c r="U71" s="65" t="str">
        <f t="shared" si="49"/>
        <v>#DIV/0!</v>
      </c>
      <c r="V71" s="65" t="str">
        <f t="shared" si="49"/>
        <v>#DIV/0!</v>
      </c>
      <c r="W71" s="65" t="str">
        <f t="shared" si="49"/>
        <v>#DIV/0!</v>
      </c>
      <c r="X71" s="65" t="str">
        <f t="shared" si="49"/>
        <v>#DIV/0!</v>
      </c>
      <c r="Y71" s="65" t="str">
        <f t="shared" si="49"/>
        <v>#DIV/0!</v>
      </c>
      <c r="Z71" s="65" t="str">
        <f t="shared" si="49"/>
        <v>#DIV/0!</v>
      </c>
      <c r="AA71" s="65" t="str">
        <f t="shared" si="49"/>
        <v>#DIV/0!</v>
      </c>
      <c r="AB71" s="65" t="str">
        <f t="shared" si="49"/>
        <v>#DIV/0!</v>
      </c>
      <c r="AC71" s="65" t="str">
        <f t="shared" si="49"/>
        <v>#DIV/0!</v>
      </c>
      <c r="AD71" s="65" t="str">
        <f t="shared" si="49"/>
        <v>#DIV/0!</v>
      </c>
      <c r="AE71" s="65" t="str">
        <f t="shared" si="49"/>
        <v>#DIV/0!</v>
      </c>
      <c r="AF71" s="65"/>
      <c r="AG71" s="65"/>
      <c r="AH71" s="65"/>
      <c r="AI71" s="46" t="str">
        <f t="shared" si="8"/>
        <v>#DIV/0!</v>
      </c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46"/>
      <c r="AZ71" s="46"/>
      <c r="BA71" s="2"/>
      <c r="BB71" s="82"/>
      <c r="BC71" s="77"/>
      <c r="BD71" s="77"/>
      <c r="BE71" s="77"/>
      <c r="BF71" s="77"/>
      <c r="BG71" s="77"/>
      <c r="BH71" s="77"/>
      <c r="BI71" s="77"/>
      <c r="BJ71" s="77"/>
      <c r="BK71" s="77"/>
      <c r="BL71" s="77"/>
      <c r="BM71" s="77"/>
      <c r="BN71" s="77"/>
      <c r="BO71" s="77"/>
      <c r="BP71" s="77"/>
      <c r="BQ71" s="77"/>
      <c r="BR71" s="77"/>
      <c r="BS71" s="77"/>
      <c r="BT71" s="77"/>
      <c r="BU71" s="77"/>
      <c r="BV71" s="77"/>
      <c r="BW71" s="77"/>
      <c r="BX71" s="77"/>
      <c r="BY71" s="77"/>
      <c r="BZ71" s="77"/>
      <c r="CA71" s="77"/>
      <c r="CB71" s="77"/>
    </row>
    <row r="72">
      <c r="A72" s="98" t="s">
        <v>140</v>
      </c>
      <c r="B72" s="18" t="s">
        <v>141</v>
      </c>
      <c r="C72" s="18" t="s">
        <v>113</v>
      </c>
      <c r="D72" s="55"/>
      <c r="E72" s="56"/>
      <c r="F72" s="57"/>
      <c r="G72" s="92"/>
      <c r="H72" s="56"/>
      <c r="I72" s="56"/>
      <c r="J72" s="55"/>
      <c r="K72" s="55"/>
      <c r="L72" s="55"/>
      <c r="M72" s="55"/>
      <c r="N72" s="55"/>
      <c r="O72" s="67"/>
      <c r="P72" s="62" t="str">
        <f t="shared" si="27"/>
        <v>#DIV/0!</v>
      </c>
      <c r="Q72" s="62" t="str">
        <f t="shared" si="28"/>
        <v>#DIV/0!</v>
      </c>
      <c r="R72" s="65"/>
      <c r="S72" s="46" t="str">
        <f t="shared" si="3"/>
        <v>#DIV/0!</v>
      </c>
      <c r="T72" s="65" t="str">
        <f t="shared" ref="T72:AE72" si="50">($D72/$D$79)*T$9</f>
        <v>#DIV/0!</v>
      </c>
      <c r="U72" s="65" t="str">
        <f t="shared" si="50"/>
        <v>#DIV/0!</v>
      </c>
      <c r="V72" s="65" t="str">
        <f t="shared" si="50"/>
        <v>#DIV/0!</v>
      </c>
      <c r="W72" s="65" t="str">
        <f t="shared" si="50"/>
        <v>#DIV/0!</v>
      </c>
      <c r="X72" s="65" t="str">
        <f t="shared" si="50"/>
        <v>#DIV/0!</v>
      </c>
      <c r="Y72" s="65" t="str">
        <f t="shared" si="50"/>
        <v>#DIV/0!</v>
      </c>
      <c r="Z72" s="65" t="str">
        <f t="shared" si="50"/>
        <v>#DIV/0!</v>
      </c>
      <c r="AA72" s="65" t="str">
        <f t="shared" si="50"/>
        <v>#DIV/0!</v>
      </c>
      <c r="AB72" s="65" t="str">
        <f t="shared" si="50"/>
        <v>#DIV/0!</v>
      </c>
      <c r="AC72" s="65" t="str">
        <f t="shared" si="50"/>
        <v>#DIV/0!</v>
      </c>
      <c r="AD72" s="65" t="str">
        <f t="shared" si="50"/>
        <v>#DIV/0!</v>
      </c>
      <c r="AE72" s="65" t="str">
        <f t="shared" si="50"/>
        <v>#DIV/0!</v>
      </c>
      <c r="AF72" s="65"/>
      <c r="AG72" s="65"/>
      <c r="AH72" s="65"/>
      <c r="AI72" s="46" t="str">
        <f t="shared" si="8"/>
        <v>#DIV/0!</v>
      </c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46"/>
      <c r="AZ72" s="46"/>
      <c r="BA72" s="2"/>
      <c r="BB72" s="82"/>
      <c r="BC72" s="77"/>
      <c r="BD72" s="77"/>
      <c r="BE72" s="77"/>
      <c r="BF72" s="77"/>
      <c r="BG72" s="77"/>
      <c r="BH72" s="77"/>
      <c r="BI72" s="77"/>
      <c r="BJ72" s="77"/>
      <c r="BK72" s="77"/>
      <c r="BL72" s="77"/>
      <c r="BM72" s="77"/>
      <c r="BN72" s="77"/>
      <c r="BO72" s="77"/>
      <c r="BP72" s="77"/>
      <c r="BQ72" s="77"/>
      <c r="BR72" s="77"/>
      <c r="BS72" s="77"/>
      <c r="BT72" s="77"/>
      <c r="BU72" s="77"/>
      <c r="BV72" s="77"/>
      <c r="BW72" s="77"/>
      <c r="BX72" s="77"/>
      <c r="BY72" s="77"/>
      <c r="BZ72" s="77"/>
      <c r="CA72" s="77"/>
      <c r="CB72" s="77"/>
    </row>
    <row r="73">
      <c r="A73" s="54"/>
      <c r="B73" s="18"/>
      <c r="C73" s="18"/>
      <c r="D73" s="55"/>
      <c r="E73" s="78"/>
      <c r="F73" s="55"/>
      <c r="G73" s="76"/>
      <c r="H73" s="78"/>
      <c r="I73" s="78"/>
      <c r="J73" s="76"/>
      <c r="K73" s="76"/>
      <c r="L73" s="76"/>
      <c r="M73" s="76"/>
      <c r="N73" s="76"/>
      <c r="O73" s="76"/>
      <c r="P73" s="79"/>
      <c r="Q73" s="79"/>
      <c r="R73" s="65"/>
      <c r="S73" s="46"/>
      <c r="T73" s="65"/>
      <c r="U73" s="65"/>
      <c r="V73" s="65"/>
      <c r="W73" s="65"/>
      <c r="X73" s="65"/>
      <c r="Y73" s="65"/>
      <c r="Z73" s="65"/>
      <c r="AA73" s="65"/>
      <c r="AB73" s="65"/>
      <c r="AC73" s="65"/>
      <c r="AD73" s="65"/>
      <c r="AE73" s="65"/>
      <c r="AF73" s="65"/>
      <c r="AG73" s="65"/>
      <c r="AH73" s="65"/>
      <c r="AI73" s="46">
        <f t="shared" si="8"/>
        <v>0</v>
      </c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46"/>
      <c r="AZ73" s="46"/>
      <c r="BA73" s="2"/>
      <c r="BB73" s="82"/>
      <c r="BC73" s="77"/>
      <c r="BD73" s="77"/>
      <c r="BE73" s="77"/>
      <c r="BF73" s="77"/>
      <c r="BG73" s="77"/>
      <c r="BH73" s="77"/>
      <c r="BI73" s="77"/>
      <c r="BJ73" s="77"/>
      <c r="BK73" s="77"/>
      <c r="BL73" s="77"/>
      <c r="BM73" s="77"/>
      <c r="BN73" s="77"/>
      <c r="BO73" s="77"/>
      <c r="BP73" s="77"/>
      <c r="BQ73" s="77"/>
      <c r="BR73" s="77"/>
      <c r="BS73" s="77"/>
      <c r="BT73" s="77"/>
      <c r="BU73" s="77"/>
      <c r="BV73" s="77"/>
      <c r="BW73" s="77"/>
      <c r="BX73" s="77"/>
      <c r="BY73" s="77"/>
      <c r="BZ73" s="77"/>
      <c r="CA73" s="77"/>
      <c r="CB73" s="77"/>
    </row>
    <row r="74">
      <c r="A74" s="100"/>
      <c r="B74" s="101" t="s">
        <v>142</v>
      </c>
      <c r="C74" s="101"/>
      <c r="D74" s="102">
        <f t="shared" ref="D74:R74" si="51">SUM(D10:D72)</f>
        <v>0</v>
      </c>
      <c r="E74" s="102">
        <f t="shared" si="51"/>
        <v>0</v>
      </c>
      <c r="F74" s="102">
        <f t="shared" si="51"/>
        <v>0</v>
      </c>
      <c r="G74" s="102">
        <f t="shared" si="51"/>
        <v>0</v>
      </c>
      <c r="H74" s="102">
        <f t="shared" si="51"/>
        <v>0</v>
      </c>
      <c r="I74" s="102">
        <f t="shared" si="51"/>
        <v>0</v>
      </c>
      <c r="J74" s="102">
        <f t="shared" si="51"/>
        <v>0</v>
      </c>
      <c r="K74" s="102">
        <f t="shared" si="51"/>
        <v>0</v>
      </c>
      <c r="L74" s="102">
        <f t="shared" si="51"/>
        <v>0</v>
      </c>
      <c r="M74" s="102">
        <f t="shared" si="51"/>
        <v>0</v>
      </c>
      <c r="N74" s="102">
        <f t="shared" si="51"/>
        <v>0</v>
      </c>
      <c r="O74" s="102">
        <f t="shared" si="51"/>
        <v>0</v>
      </c>
      <c r="P74" s="102" t="str">
        <f t="shared" si="51"/>
        <v>#DIV/0!</v>
      </c>
      <c r="Q74" s="102" t="str">
        <f t="shared" si="51"/>
        <v>#DIV/0!</v>
      </c>
      <c r="R74" s="102">
        <f t="shared" si="51"/>
        <v>0</v>
      </c>
      <c r="S74" s="103" t="str">
        <f>ROUND(SUM(S10:S72),0)</f>
        <v>#DIV/0!</v>
      </c>
      <c r="T74" s="102" t="str">
        <f t="shared" ref="T74:AE74" si="52">sum(T25:T72)</f>
        <v>#DIV/0!</v>
      </c>
      <c r="U74" s="102" t="str">
        <f t="shared" si="52"/>
        <v>#DIV/0!</v>
      </c>
      <c r="V74" s="102" t="str">
        <f t="shared" si="52"/>
        <v>#DIV/0!</v>
      </c>
      <c r="W74" s="102" t="str">
        <f t="shared" si="52"/>
        <v>#DIV/0!</v>
      </c>
      <c r="X74" s="102" t="str">
        <f t="shared" si="52"/>
        <v>#DIV/0!</v>
      </c>
      <c r="Y74" s="102" t="str">
        <f t="shared" si="52"/>
        <v>#DIV/0!</v>
      </c>
      <c r="Z74" s="102" t="str">
        <f t="shared" si="52"/>
        <v>#DIV/0!</v>
      </c>
      <c r="AA74" s="102" t="str">
        <f t="shared" si="52"/>
        <v>#DIV/0!</v>
      </c>
      <c r="AB74" s="102" t="str">
        <f t="shared" si="52"/>
        <v>#DIV/0!</v>
      </c>
      <c r="AC74" s="102" t="str">
        <f t="shared" si="52"/>
        <v>#DIV/0!</v>
      </c>
      <c r="AD74" s="102" t="str">
        <f t="shared" si="52"/>
        <v>#DIV/0!</v>
      </c>
      <c r="AE74" s="102" t="str">
        <f t="shared" si="52"/>
        <v>#DIV/0!</v>
      </c>
      <c r="AF74" s="102"/>
      <c r="AG74" s="102"/>
      <c r="AH74" s="102"/>
      <c r="AI74" s="103" t="str">
        <f>SUM(AI25:AI72)</f>
        <v>#DIV/0!</v>
      </c>
      <c r="AJ74" s="102"/>
      <c r="AK74" s="102"/>
      <c r="AL74" s="102"/>
      <c r="AM74" s="102"/>
      <c r="AN74" s="102"/>
      <c r="AO74" s="102"/>
      <c r="AP74" s="102"/>
      <c r="AQ74" s="102"/>
      <c r="AR74" s="102"/>
      <c r="AS74" s="102"/>
      <c r="AT74" s="102"/>
      <c r="AU74" s="102"/>
      <c r="AV74" s="102"/>
      <c r="AW74" s="102"/>
      <c r="AX74" s="102"/>
      <c r="AY74" s="46"/>
      <c r="AZ74" s="46"/>
      <c r="BA74" s="2"/>
      <c r="BB74" s="82"/>
      <c r="BC74" s="77"/>
      <c r="BD74" s="77"/>
      <c r="BE74" s="77"/>
      <c r="BF74" s="77"/>
      <c r="BG74" s="77"/>
      <c r="BH74" s="77"/>
      <c r="BI74" s="77"/>
      <c r="BJ74" s="77"/>
      <c r="BK74" s="77"/>
      <c r="BL74" s="77"/>
      <c r="BM74" s="77"/>
      <c r="BN74" s="77"/>
      <c r="BO74" s="77"/>
      <c r="BP74" s="77"/>
      <c r="BQ74" s="77"/>
      <c r="BR74" s="77"/>
      <c r="BS74" s="77"/>
      <c r="BT74" s="77"/>
      <c r="BU74" s="77"/>
      <c r="BV74" s="77"/>
      <c r="BW74" s="77"/>
      <c r="BX74" s="77"/>
      <c r="BY74" s="77"/>
      <c r="BZ74" s="77"/>
      <c r="CA74" s="77"/>
      <c r="CB74" s="77"/>
    </row>
    <row r="75">
      <c r="A75" s="8"/>
      <c r="B75" s="104"/>
      <c r="C75" s="104"/>
      <c r="D75" s="105"/>
      <c r="E75" s="4"/>
      <c r="F75" s="5"/>
      <c r="G75" s="6"/>
      <c r="H75" s="4"/>
      <c r="I75" s="7"/>
      <c r="J75" s="6"/>
      <c r="K75" s="6"/>
      <c r="L75" s="6"/>
      <c r="M75" s="6"/>
      <c r="N75" s="6"/>
      <c r="O75" s="106" t="s">
        <v>143</v>
      </c>
      <c r="P75" s="107"/>
      <c r="Q75" s="107"/>
      <c r="R75" s="2"/>
      <c r="S75" s="2"/>
      <c r="T75" s="2" t="str">
        <f t="shared" ref="T75:AE75" si="53">T9-T74</f>
        <v>#DIV/0!</v>
      </c>
      <c r="U75" s="2" t="str">
        <f t="shared" si="53"/>
        <v>#DIV/0!</v>
      </c>
      <c r="V75" s="2" t="str">
        <f t="shared" si="53"/>
        <v>#DIV/0!</v>
      </c>
      <c r="W75" s="2" t="str">
        <f t="shared" si="53"/>
        <v>#DIV/0!</v>
      </c>
      <c r="X75" s="2" t="str">
        <f t="shared" si="53"/>
        <v>#DIV/0!</v>
      </c>
      <c r="Y75" s="2" t="str">
        <f t="shared" si="53"/>
        <v>#DIV/0!</v>
      </c>
      <c r="Z75" s="2" t="str">
        <f t="shared" si="53"/>
        <v>#DIV/0!</v>
      </c>
      <c r="AA75" s="2" t="str">
        <f t="shared" si="53"/>
        <v>#DIV/0!</v>
      </c>
      <c r="AB75" s="2" t="str">
        <f t="shared" si="53"/>
        <v>#DIV/0!</v>
      </c>
      <c r="AC75" s="2" t="str">
        <f t="shared" si="53"/>
        <v>#DIV/0!</v>
      </c>
      <c r="AD75" s="2" t="str">
        <f t="shared" si="53"/>
        <v>#DIV/0!</v>
      </c>
      <c r="AE75" s="2" t="str">
        <f t="shared" si="53"/>
        <v>#DIV/0!</v>
      </c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9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</row>
    <row r="76">
      <c r="A76" s="8"/>
      <c r="B76" s="104"/>
      <c r="C76" s="104"/>
      <c r="D76" s="105"/>
      <c r="E76" s="4"/>
      <c r="F76" s="5"/>
      <c r="G76" s="6"/>
      <c r="H76" s="4"/>
      <c r="I76" s="7"/>
      <c r="J76" s="6"/>
      <c r="K76" s="6"/>
      <c r="L76" s="6"/>
      <c r="M76" s="6"/>
      <c r="N76" s="6"/>
      <c r="O76" s="6"/>
      <c r="P76" s="8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9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</row>
    <row r="77">
      <c r="A77" s="8"/>
      <c r="B77" s="104"/>
      <c r="C77" s="108" t="s">
        <v>144</v>
      </c>
      <c r="D77" s="109">
        <f t="shared" ref="D77:R77" si="54">D74</f>
        <v>0</v>
      </c>
      <c r="E77" s="109">
        <f t="shared" si="54"/>
        <v>0</v>
      </c>
      <c r="F77" s="109">
        <f t="shared" si="54"/>
        <v>0</v>
      </c>
      <c r="G77" s="109">
        <f t="shared" si="54"/>
        <v>0</v>
      </c>
      <c r="H77" s="109">
        <f t="shared" si="54"/>
        <v>0</v>
      </c>
      <c r="I77" s="109">
        <f t="shared" si="54"/>
        <v>0</v>
      </c>
      <c r="J77" s="109">
        <f t="shared" si="54"/>
        <v>0</v>
      </c>
      <c r="K77" s="109">
        <f t="shared" si="54"/>
        <v>0</v>
      </c>
      <c r="L77" s="109">
        <f t="shared" si="54"/>
        <v>0</v>
      </c>
      <c r="M77" s="109">
        <f t="shared" si="54"/>
        <v>0</v>
      </c>
      <c r="N77" s="109">
        <f t="shared" si="54"/>
        <v>0</v>
      </c>
      <c r="O77" s="109">
        <f t="shared" si="54"/>
        <v>0</v>
      </c>
      <c r="P77" s="109" t="str">
        <f t="shared" si="54"/>
        <v>#DIV/0!</v>
      </c>
      <c r="Q77" s="109" t="str">
        <f t="shared" si="54"/>
        <v>#DIV/0!</v>
      </c>
      <c r="R77" s="109">
        <f t="shared" si="54"/>
        <v>0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9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</row>
    <row r="78">
      <c r="A78" s="8"/>
      <c r="B78" s="104"/>
      <c r="C78" s="110" t="s">
        <v>145</v>
      </c>
      <c r="D78" s="111">
        <f t="shared" ref="D78:F78" si="55">sum(D10:D22)</f>
        <v>0</v>
      </c>
      <c r="E78" s="111">
        <f t="shared" si="55"/>
        <v>0</v>
      </c>
      <c r="F78" s="111">
        <f t="shared" si="55"/>
        <v>0</v>
      </c>
      <c r="G78" s="111">
        <f>sum(G26:G30)</f>
        <v>0</v>
      </c>
      <c r="H78" s="111">
        <f t="shared" ref="H78:R78" si="56">sum(H10:H22)</f>
        <v>0</v>
      </c>
      <c r="I78" s="111">
        <f t="shared" si="56"/>
        <v>0</v>
      </c>
      <c r="J78" s="111">
        <f t="shared" si="56"/>
        <v>0</v>
      </c>
      <c r="K78" s="111">
        <f t="shared" si="56"/>
        <v>0</v>
      </c>
      <c r="L78" s="111">
        <f t="shared" si="56"/>
        <v>0</v>
      </c>
      <c r="M78" s="111">
        <f t="shared" si="56"/>
        <v>0</v>
      </c>
      <c r="N78" s="111">
        <f t="shared" si="56"/>
        <v>0</v>
      </c>
      <c r="O78" s="111">
        <f t="shared" si="56"/>
        <v>0</v>
      </c>
      <c r="P78" s="111" t="str">
        <f t="shared" si="56"/>
        <v>#DIV/0!</v>
      </c>
      <c r="Q78" s="111" t="str">
        <f t="shared" si="56"/>
        <v>#DIV/0!</v>
      </c>
      <c r="R78" s="111">
        <f t="shared" si="56"/>
        <v>0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9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</row>
    <row r="79">
      <c r="A79" s="8"/>
      <c r="B79" s="104"/>
      <c r="C79" s="110" t="s">
        <v>146</v>
      </c>
      <c r="D79" s="111">
        <f t="shared" ref="D79:R79" si="57">D77-D78</f>
        <v>0</v>
      </c>
      <c r="E79" s="111">
        <f t="shared" si="57"/>
        <v>0</v>
      </c>
      <c r="F79" s="111">
        <f t="shared" si="57"/>
        <v>0</v>
      </c>
      <c r="G79" s="111">
        <f t="shared" si="57"/>
        <v>0</v>
      </c>
      <c r="H79" s="111">
        <f t="shared" si="57"/>
        <v>0</v>
      </c>
      <c r="I79" s="111">
        <f t="shared" si="57"/>
        <v>0</v>
      </c>
      <c r="J79" s="111">
        <f t="shared" si="57"/>
        <v>0</v>
      </c>
      <c r="K79" s="111">
        <f t="shared" si="57"/>
        <v>0</v>
      </c>
      <c r="L79" s="111">
        <f t="shared" si="57"/>
        <v>0</v>
      </c>
      <c r="M79" s="111">
        <f t="shared" si="57"/>
        <v>0</v>
      </c>
      <c r="N79" s="111">
        <f t="shared" si="57"/>
        <v>0</v>
      </c>
      <c r="O79" s="111">
        <f t="shared" si="57"/>
        <v>0</v>
      </c>
      <c r="P79" s="111" t="str">
        <f t="shared" si="57"/>
        <v>#DIV/0!</v>
      </c>
      <c r="Q79" s="111" t="str">
        <f t="shared" si="57"/>
        <v>#DIV/0!</v>
      </c>
      <c r="R79" s="111">
        <f t="shared" si="57"/>
        <v>0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9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</row>
    <row r="80">
      <c r="A80" s="8"/>
      <c r="B80" s="104"/>
      <c r="C80" s="104"/>
      <c r="D80" s="105"/>
      <c r="E80" s="4"/>
      <c r="F80" s="5"/>
      <c r="G80" s="6"/>
      <c r="H80" s="4"/>
      <c r="I80" s="7"/>
      <c r="J80" s="6"/>
      <c r="K80" s="6"/>
      <c r="L80" s="6"/>
      <c r="M80" s="6"/>
      <c r="N80" s="6"/>
      <c r="O80" s="6"/>
      <c r="P80" s="8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9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</row>
    <row r="81">
      <c r="A81" s="8"/>
      <c r="B81" s="104"/>
      <c r="C81" s="104"/>
      <c r="D81" s="105"/>
      <c r="E81" s="4"/>
      <c r="F81" s="5"/>
      <c r="G81" s="6"/>
      <c r="H81" s="4"/>
      <c r="I81" s="7"/>
      <c r="J81" s="6"/>
      <c r="K81" s="6"/>
      <c r="L81" s="6"/>
      <c r="M81" s="6"/>
      <c r="N81" s="6"/>
      <c r="O81" s="6"/>
      <c r="P81" s="8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9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</row>
    <row r="82">
      <c r="A82" s="8"/>
      <c r="B82" s="104"/>
      <c r="C82" s="104"/>
      <c r="D82" s="105"/>
      <c r="E82" s="4"/>
      <c r="F82" s="5"/>
      <c r="G82" s="6"/>
      <c r="H82" s="4"/>
      <c r="I82" s="7"/>
      <c r="J82" s="6"/>
      <c r="K82" s="6"/>
      <c r="L82" s="6"/>
      <c r="M82" s="6"/>
      <c r="N82" s="6"/>
      <c r="O82" s="6"/>
      <c r="P82" s="8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9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</row>
    <row r="83">
      <c r="A83" s="8"/>
      <c r="B83" s="104"/>
      <c r="C83" s="104"/>
      <c r="D83" s="105"/>
      <c r="E83" s="4"/>
      <c r="F83" s="5"/>
      <c r="G83" s="6"/>
      <c r="H83" s="4"/>
      <c r="I83" s="7"/>
      <c r="J83" s="6"/>
      <c r="K83" s="6"/>
      <c r="L83" s="6"/>
      <c r="M83" s="6"/>
      <c r="N83" s="6"/>
      <c r="O83" s="6"/>
      <c r="P83" s="8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9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</row>
    <row r="84">
      <c r="A84" s="8"/>
      <c r="B84" s="104"/>
      <c r="C84" s="104"/>
      <c r="D84" s="105"/>
      <c r="E84" s="4"/>
      <c r="F84" s="5"/>
      <c r="G84" s="6"/>
      <c r="H84" s="4"/>
      <c r="I84" s="7"/>
      <c r="J84" s="6"/>
      <c r="K84" s="6"/>
      <c r="L84" s="6"/>
      <c r="M84" s="6"/>
      <c r="N84" s="6"/>
      <c r="O84" s="6"/>
      <c r="P84" s="8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9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</row>
    <row r="85">
      <c r="A85" s="8"/>
      <c r="B85" s="104"/>
      <c r="C85" s="104"/>
      <c r="D85" s="105"/>
      <c r="E85" s="4"/>
      <c r="F85" s="5"/>
      <c r="G85" s="6"/>
      <c r="H85" s="4"/>
      <c r="I85" s="7"/>
      <c r="J85" s="6"/>
      <c r="K85" s="6"/>
      <c r="L85" s="6"/>
      <c r="M85" s="6"/>
      <c r="N85" s="6"/>
      <c r="O85" s="6"/>
      <c r="P85" s="8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9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</row>
    <row r="86">
      <c r="A86" s="8"/>
      <c r="B86" s="104"/>
      <c r="C86" s="104"/>
      <c r="D86" s="105"/>
      <c r="E86" s="4"/>
      <c r="F86" s="5"/>
      <c r="G86" s="6"/>
      <c r="H86" s="4"/>
      <c r="I86" s="7"/>
      <c r="J86" s="6"/>
      <c r="K86" s="6"/>
      <c r="L86" s="6"/>
      <c r="M86" s="6"/>
      <c r="N86" s="6"/>
      <c r="O86" s="6"/>
      <c r="P86" s="8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9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</row>
    <row r="87">
      <c r="A87" s="8"/>
      <c r="B87" s="104"/>
      <c r="C87" s="104"/>
      <c r="D87" s="105"/>
      <c r="E87" s="4"/>
      <c r="F87" s="5"/>
      <c r="G87" s="6"/>
      <c r="H87" s="4"/>
      <c r="I87" s="7"/>
      <c r="J87" s="6"/>
      <c r="K87" s="6"/>
      <c r="L87" s="6"/>
      <c r="M87" s="6"/>
      <c r="N87" s="6"/>
      <c r="O87" s="6"/>
      <c r="P87" s="8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9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</row>
    <row r="88">
      <c r="A88" s="8"/>
      <c r="B88" s="104"/>
      <c r="C88" s="104"/>
      <c r="D88" s="105"/>
      <c r="E88" s="4"/>
      <c r="F88" s="5"/>
      <c r="G88" s="6"/>
      <c r="H88" s="4"/>
      <c r="I88" s="7"/>
      <c r="J88" s="6"/>
      <c r="K88" s="6"/>
      <c r="L88" s="6"/>
      <c r="M88" s="6"/>
      <c r="N88" s="6"/>
      <c r="O88" s="6"/>
      <c r="P88" s="8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9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</row>
    <row r="89">
      <c r="A89" s="8"/>
      <c r="B89" s="104"/>
      <c r="C89" s="104"/>
      <c r="D89" s="105"/>
      <c r="E89" s="4"/>
      <c r="F89" s="5"/>
      <c r="G89" s="6"/>
      <c r="H89" s="4"/>
      <c r="I89" s="7"/>
      <c r="J89" s="6"/>
      <c r="K89" s="6"/>
      <c r="L89" s="6"/>
      <c r="M89" s="6"/>
      <c r="N89" s="6"/>
      <c r="O89" s="6"/>
      <c r="P89" s="8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9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</row>
    <row r="90">
      <c r="A90" s="8"/>
      <c r="B90" s="104"/>
      <c r="C90" s="104"/>
      <c r="D90" s="105"/>
      <c r="E90" s="4"/>
      <c r="F90" s="5"/>
      <c r="G90" s="6"/>
      <c r="H90" s="4"/>
      <c r="I90" s="7"/>
      <c r="J90" s="6"/>
      <c r="K90" s="6"/>
      <c r="L90" s="6"/>
      <c r="M90" s="6"/>
      <c r="N90" s="6"/>
      <c r="O90" s="6"/>
      <c r="P90" s="8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9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</row>
    <row r="91">
      <c r="A91" s="8"/>
      <c r="B91" s="104"/>
      <c r="C91" s="104"/>
      <c r="D91" s="105"/>
      <c r="E91" s="4"/>
      <c r="F91" s="5"/>
      <c r="G91" s="6"/>
      <c r="H91" s="4"/>
      <c r="I91" s="7"/>
      <c r="J91" s="6"/>
      <c r="K91" s="6"/>
      <c r="L91" s="6"/>
      <c r="M91" s="6"/>
      <c r="N91" s="6"/>
      <c r="O91" s="6"/>
      <c r="P91" s="8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9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</row>
    <row r="92">
      <c r="A92" s="8"/>
      <c r="B92" s="104"/>
      <c r="C92" s="104"/>
      <c r="D92" s="105"/>
      <c r="E92" s="4"/>
      <c r="F92" s="5"/>
      <c r="G92" s="6"/>
      <c r="H92" s="4"/>
      <c r="I92" s="7"/>
      <c r="J92" s="6"/>
      <c r="K92" s="6"/>
      <c r="L92" s="6"/>
      <c r="M92" s="6"/>
      <c r="N92" s="6"/>
      <c r="O92" s="6"/>
      <c r="P92" s="8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9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</row>
    <row r="93">
      <c r="A93" s="8"/>
      <c r="B93" s="104"/>
      <c r="C93" s="104"/>
      <c r="D93" s="105"/>
      <c r="E93" s="4"/>
      <c r="F93" s="5"/>
      <c r="G93" s="6"/>
      <c r="H93" s="4"/>
      <c r="I93" s="7"/>
      <c r="J93" s="6"/>
      <c r="K93" s="6"/>
      <c r="L93" s="6"/>
      <c r="M93" s="6"/>
      <c r="N93" s="6"/>
      <c r="O93" s="6"/>
      <c r="P93" s="8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9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</row>
    <row r="94">
      <c r="A94" s="8"/>
      <c r="B94" s="104"/>
      <c r="C94" s="104"/>
      <c r="D94" s="105"/>
      <c r="E94" s="4"/>
      <c r="F94" s="5"/>
      <c r="G94" s="6"/>
      <c r="H94" s="4"/>
      <c r="I94" s="7"/>
      <c r="J94" s="6"/>
      <c r="K94" s="6"/>
      <c r="L94" s="6"/>
      <c r="M94" s="6"/>
      <c r="N94" s="6"/>
      <c r="O94" s="6"/>
      <c r="P94" s="8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9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</row>
    <row r="95">
      <c r="A95" s="8"/>
      <c r="B95" s="104"/>
      <c r="C95" s="104"/>
      <c r="D95" s="105"/>
      <c r="E95" s="4"/>
      <c r="F95" s="5"/>
      <c r="G95" s="6"/>
      <c r="H95" s="4"/>
      <c r="I95" s="7"/>
      <c r="J95" s="6"/>
      <c r="K95" s="6"/>
      <c r="L95" s="6"/>
      <c r="M95" s="6"/>
      <c r="N95" s="6"/>
      <c r="O95" s="6"/>
      <c r="P95" s="8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9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</row>
    <row r="96">
      <c r="A96" s="8"/>
      <c r="B96" s="104"/>
      <c r="C96" s="104"/>
      <c r="D96" s="105"/>
      <c r="E96" s="4"/>
      <c r="F96" s="5"/>
      <c r="G96" s="6"/>
      <c r="H96" s="4"/>
      <c r="I96" s="7"/>
      <c r="J96" s="6"/>
      <c r="K96" s="6"/>
      <c r="L96" s="6"/>
      <c r="M96" s="6"/>
      <c r="N96" s="6"/>
      <c r="O96" s="6"/>
      <c r="P96" s="8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9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</row>
    <row r="97">
      <c r="A97" s="8"/>
      <c r="B97" s="104"/>
      <c r="C97" s="104"/>
      <c r="D97" s="105"/>
      <c r="E97" s="4"/>
      <c r="F97" s="5"/>
      <c r="G97" s="6"/>
      <c r="H97" s="4"/>
      <c r="I97" s="7"/>
      <c r="J97" s="6"/>
      <c r="K97" s="6"/>
      <c r="L97" s="6"/>
      <c r="M97" s="6"/>
      <c r="N97" s="6"/>
      <c r="O97" s="6"/>
      <c r="P97" s="8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9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</row>
    <row r="98">
      <c r="A98" s="8"/>
      <c r="B98" s="104"/>
      <c r="C98" s="104"/>
      <c r="D98" s="105"/>
      <c r="E98" s="4"/>
      <c r="F98" s="5"/>
      <c r="G98" s="6"/>
      <c r="H98" s="4"/>
      <c r="I98" s="7"/>
      <c r="J98" s="6"/>
      <c r="K98" s="6"/>
      <c r="L98" s="6"/>
      <c r="M98" s="6"/>
      <c r="N98" s="6"/>
      <c r="O98" s="6"/>
      <c r="P98" s="8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9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</row>
    <row r="99">
      <c r="A99" s="8"/>
      <c r="B99" s="104"/>
      <c r="C99" s="104"/>
      <c r="D99" s="105"/>
      <c r="E99" s="4"/>
      <c r="F99" s="5"/>
      <c r="G99" s="6"/>
      <c r="H99" s="4"/>
      <c r="I99" s="7"/>
      <c r="J99" s="6"/>
      <c r="K99" s="6"/>
      <c r="L99" s="6"/>
      <c r="M99" s="6"/>
      <c r="N99" s="6"/>
      <c r="O99" s="6"/>
      <c r="P99" s="8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9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</row>
    <row r="100">
      <c r="A100" s="8"/>
      <c r="B100" s="104"/>
      <c r="C100" s="104"/>
      <c r="D100" s="105"/>
      <c r="E100" s="4"/>
      <c r="F100" s="5"/>
      <c r="G100" s="6"/>
      <c r="H100" s="4"/>
      <c r="I100" s="7"/>
      <c r="J100" s="6"/>
      <c r="K100" s="6"/>
      <c r="L100" s="6"/>
      <c r="M100" s="6"/>
      <c r="N100" s="6"/>
      <c r="O100" s="6"/>
      <c r="P100" s="8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9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</row>
    <row r="101">
      <c r="A101" s="8"/>
      <c r="B101" s="104"/>
      <c r="C101" s="104"/>
      <c r="D101" s="105"/>
      <c r="E101" s="4"/>
      <c r="F101" s="5"/>
      <c r="G101" s="6"/>
      <c r="H101" s="4"/>
      <c r="I101" s="7"/>
      <c r="J101" s="6"/>
      <c r="K101" s="6"/>
      <c r="L101" s="6"/>
      <c r="M101" s="6"/>
      <c r="N101" s="6"/>
      <c r="O101" s="6"/>
      <c r="P101" s="8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9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</row>
    <row r="102">
      <c r="A102" s="8"/>
      <c r="B102" s="104"/>
      <c r="C102" s="104"/>
      <c r="D102" s="105"/>
      <c r="E102" s="4"/>
      <c r="F102" s="5"/>
      <c r="G102" s="6"/>
      <c r="H102" s="4"/>
      <c r="I102" s="7"/>
      <c r="J102" s="6"/>
      <c r="K102" s="6"/>
      <c r="L102" s="6"/>
      <c r="M102" s="6"/>
      <c r="N102" s="6"/>
      <c r="O102" s="6"/>
      <c r="P102" s="8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9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</row>
    <row r="103">
      <c r="A103" s="8"/>
      <c r="B103" s="104"/>
      <c r="C103" s="104"/>
      <c r="D103" s="105"/>
      <c r="E103" s="4"/>
      <c r="F103" s="5"/>
      <c r="G103" s="6"/>
      <c r="H103" s="4"/>
      <c r="I103" s="7"/>
      <c r="J103" s="6"/>
      <c r="K103" s="6"/>
      <c r="L103" s="6"/>
      <c r="M103" s="6"/>
      <c r="N103" s="6"/>
      <c r="O103" s="6"/>
      <c r="P103" s="8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9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</row>
    <row r="104">
      <c r="A104" s="8"/>
      <c r="B104" s="104"/>
      <c r="C104" s="104"/>
      <c r="D104" s="105"/>
      <c r="E104" s="4"/>
      <c r="F104" s="5"/>
      <c r="G104" s="6"/>
      <c r="H104" s="4"/>
      <c r="I104" s="7"/>
      <c r="J104" s="6"/>
      <c r="K104" s="6"/>
      <c r="L104" s="6"/>
      <c r="M104" s="6"/>
      <c r="N104" s="6"/>
      <c r="O104" s="6"/>
      <c r="P104" s="8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9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</row>
    <row r="105">
      <c r="A105" s="8"/>
      <c r="B105" s="104"/>
      <c r="C105" s="104"/>
      <c r="D105" s="105"/>
      <c r="E105" s="4"/>
      <c r="F105" s="5"/>
      <c r="G105" s="6"/>
      <c r="H105" s="4"/>
      <c r="I105" s="7"/>
      <c r="J105" s="6"/>
      <c r="K105" s="6"/>
      <c r="L105" s="6"/>
      <c r="M105" s="6"/>
      <c r="N105" s="6"/>
      <c r="O105" s="6"/>
      <c r="P105" s="8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9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</row>
    <row r="106">
      <c r="A106" s="8"/>
      <c r="B106" s="104"/>
      <c r="C106" s="104"/>
      <c r="D106" s="105"/>
      <c r="E106" s="4"/>
      <c r="F106" s="5"/>
      <c r="G106" s="6"/>
      <c r="H106" s="4"/>
      <c r="I106" s="7"/>
      <c r="J106" s="6"/>
      <c r="K106" s="6"/>
      <c r="L106" s="6"/>
      <c r="M106" s="6"/>
      <c r="N106" s="6"/>
      <c r="O106" s="6"/>
      <c r="P106" s="8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9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</row>
    <row r="107">
      <c r="A107" s="8"/>
      <c r="B107" s="104"/>
      <c r="C107" s="104"/>
      <c r="D107" s="105"/>
      <c r="E107" s="4"/>
      <c r="F107" s="5"/>
      <c r="G107" s="6"/>
      <c r="H107" s="4"/>
      <c r="I107" s="7"/>
      <c r="J107" s="6"/>
      <c r="K107" s="6"/>
      <c r="L107" s="6"/>
      <c r="M107" s="6"/>
      <c r="N107" s="6"/>
      <c r="O107" s="6"/>
      <c r="P107" s="8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9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</row>
    <row r="108">
      <c r="A108" s="8"/>
      <c r="B108" s="104"/>
      <c r="C108" s="104"/>
      <c r="D108" s="105"/>
      <c r="E108" s="4"/>
      <c r="F108" s="5"/>
      <c r="G108" s="6"/>
      <c r="H108" s="4"/>
      <c r="I108" s="7"/>
      <c r="J108" s="6"/>
      <c r="K108" s="6"/>
      <c r="L108" s="6"/>
      <c r="M108" s="6"/>
      <c r="N108" s="6"/>
      <c r="O108" s="6"/>
      <c r="P108" s="8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9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</row>
    <row r="109">
      <c r="A109" s="8"/>
      <c r="B109" s="104"/>
      <c r="C109" s="104"/>
      <c r="D109" s="105"/>
      <c r="E109" s="4"/>
      <c r="F109" s="5"/>
      <c r="G109" s="6"/>
      <c r="H109" s="4"/>
      <c r="I109" s="7"/>
      <c r="J109" s="6"/>
      <c r="K109" s="6"/>
      <c r="L109" s="6"/>
      <c r="M109" s="6"/>
      <c r="N109" s="6"/>
      <c r="O109" s="6"/>
      <c r="P109" s="8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9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</row>
    <row r="110">
      <c r="A110" s="8"/>
      <c r="B110" s="104"/>
      <c r="C110" s="104"/>
      <c r="D110" s="105"/>
      <c r="E110" s="4"/>
      <c r="F110" s="5"/>
      <c r="G110" s="6"/>
      <c r="H110" s="4"/>
      <c r="I110" s="7"/>
      <c r="J110" s="6"/>
      <c r="K110" s="6"/>
      <c r="L110" s="6"/>
      <c r="M110" s="6"/>
      <c r="N110" s="6"/>
      <c r="O110" s="6"/>
      <c r="P110" s="8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9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</row>
    <row r="111">
      <c r="A111" s="8"/>
      <c r="B111" s="104"/>
      <c r="C111" s="104"/>
      <c r="D111" s="105"/>
      <c r="E111" s="4"/>
      <c r="F111" s="5"/>
      <c r="G111" s="6"/>
      <c r="H111" s="4"/>
      <c r="I111" s="7"/>
      <c r="J111" s="6"/>
      <c r="K111" s="6"/>
      <c r="L111" s="6"/>
      <c r="M111" s="6"/>
      <c r="N111" s="6"/>
      <c r="O111" s="6"/>
      <c r="P111" s="8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9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</row>
    <row r="112">
      <c r="A112" s="8"/>
      <c r="B112" s="104"/>
      <c r="C112" s="104"/>
      <c r="D112" s="105"/>
      <c r="E112" s="4"/>
      <c r="F112" s="5"/>
      <c r="G112" s="6"/>
      <c r="H112" s="4"/>
      <c r="I112" s="7"/>
      <c r="J112" s="6"/>
      <c r="K112" s="6"/>
      <c r="L112" s="6"/>
      <c r="M112" s="6"/>
      <c r="N112" s="6"/>
      <c r="O112" s="6"/>
      <c r="P112" s="8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9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</row>
    <row r="113">
      <c r="A113" s="8"/>
      <c r="B113" s="104"/>
      <c r="C113" s="104"/>
      <c r="D113" s="105"/>
      <c r="E113" s="4"/>
      <c r="F113" s="5"/>
      <c r="G113" s="6"/>
      <c r="H113" s="4"/>
      <c r="I113" s="7"/>
      <c r="J113" s="6"/>
      <c r="K113" s="6"/>
      <c r="L113" s="6"/>
      <c r="M113" s="6"/>
      <c r="N113" s="6"/>
      <c r="O113" s="6"/>
      <c r="P113" s="8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9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</row>
    <row r="114">
      <c r="A114" s="8"/>
      <c r="B114" s="104"/>
      <c r="C114" s="104"/>
      <c r="D114" s="105"/>
      <c r="E114" s="4"/>
      <c r="F114" s="5"/>
      <c r="G114" s="6"/>
      <c r="H114" s="4"/>
      <c r="I114" s="7"/>
      <c r="J114" s="6"/>
      <c r="K114" s="6"/>
      <c r="L114" s="6"/>
      <c r="M114" s="6"/>
      <c r="N114" s="6"/>
      <c r="O114" s="6"/>
      <c r="P114" s="8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9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</row>
    <row r="115">
      <c r="A115" s="8"/>
      <c r="B115" s="104"/>
      <c r="C115" s="104"/>
      <c r="D115" s="105"/>
      <c r="E115" s="4"/>
      <c r="F115" s="5"/>
      <c r="G115" s="6"/>
      <c r="H115" s="4"/>
      <c r="I115" s="7"/>
      <c r="J115" s="6"/>
      <c r="K115" s="6"/>
      <c r="L115" s="6"/>
      <c r="M115" s="6"/>
      <c r="N115" s="6"/>
      <c r="O115" s="6"/>
      <c r="P115" s="8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9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</row>
    <row r="116">
      <c r="A116" s="8"/>
      <c r="B116" s="104"/>
      <c r="C116" s="104"/>
      <c r="D116" s="105"/>
      <c r="E116" s="4"/>
      <c r="F116" s="5"/>
      <c r="G116" s="6"/>
      <c r="H116" s="4"/>
      <c r="I116" s="7"/>
      <c r="J116" s="6"/>
      <c r="K116" s="6"/>
      <c r="L116" s="6"/>
      <c r="M116" s="6"/>
      <c r="N116" s="6"/>
      <c r="O116" s="6"/>
      <c r="P116" s="8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9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</row>
    <row r="117">
      <c r="A117" s="8"/>
      <c r="B117" s="104"/>
      <c r="C117" s="104"/>
      <c r="D117" s="105"/>
      <c r="E117" s="4"/>
      <c r="F117" s="5"/>
      <c r="G117" s="6"/>
      <c r="H117" s="4"/>
      <c r="I117" s="7"/>
      <c r="J117" s="6"/>
      <c r="K117" s="6"/>
      <c r="L117" s="6"/>
      <c r="M117" s="6"/>
      <c r="N117" s="6"/>
      <c r="O117" s="6"/>
      <c r="P117" s="8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9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</row>
    <row r="118">
      <c r="A118" s="8"/>
      <c r="B118" s="104"/>
      <c r="C118" s="104"/>
      <c r="D118" s="105"/>
      <c r="E118" s="4"/>
      <c r="F118" s="5"/>
      <c r="G118" s="6"/>
      <c r="H118" s="4"/>
      <c r="I118" s="7"/>
      <c r="J118" s="6"/>
      <c r="K118" s="6"/>
      <c r="L118" s="6"/>
      <c r="M118" s="6"/>
      <c r="N118" s="6"/>
      <c r="O118" s="6"/>
      <c r="P118" s="8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9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</row>
    <row r="119">
      <c r="A119" s="8"/>
      <c r="B119" s="104"/>
      <c r="C119" s="104"/>
      <c r="D119" s="105"/>
      <c r="E119" s="4"/>
      <c r="F119" s="5"/>
      <c r="G119" s="6"/>
      <c r="H119" s="4"/>
      <c r="I119" s="7"/>
      <c r="J119" s="6"/>
      <c r="K119" s="6"/>
      <c r="L119" s="6"/>
      <c r="M119" s="6"/>
      <c r="N119" s="6"/>
      <c r="O119" s="6"/>
      <c r="P119" s="8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9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</row>
    <row r="120">
      <c r="A120" s="8"/>
      <c r="B120" s="104"/>
      <c r="C120" s="104"/>
      <c r="D120" s="105"/>
      <c r="E120" s="4"/>
      <c r="F120" s="5"/>
      <c r="G120" s="6"/>
      <c r="H120" s="4"/>
      <c r="I120" s="7"/>
      <c r="J120" s="6"/>
      <c r="K120" s="6"/>
      <c r="L120" s="6"/>
      <c r="M120" s="6"/>
      <c r="N120" s="6"/>
      <c r="O120" s="6"/>
      <c r="P120" s="8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9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</row>
    <row r="121">
      <c r="A121" s="8"/>
      <c r="B121" s="104"/>
      <c r="C121" s="104"/>
      <c r="D121" s="105"/>
      <c r="E121" s="4"/>
      <c r="F121" s="5"/>
      <c r="G121" s="6"/>
      <c r="H121" s="4"/>
      <c r="I121" s="7"/>
      <c r="J121" s="6"/>
      <c r="K121" s="6"/>
      <c r="L121" s="6"/>
      <c r="M121" s="6"/>
      <c r="N121" s="6"/>
      <c r="O121" s="6"/>
      <c r="P121" s="8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9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</row>
    <row r="122">
      <c r="A122" s="8"/>
      <c r="B122" s="104"/>
      <c r="C122" s="104"/>
      <c r="D122" s="105"/>
      <c r="E122" s="4"/>
      <c r="F122" s="5"/>
      <c r="G122" s="6"/>
      <c r="H122" s="4"/>
      <c r="I122" s="7"/>
      <c r="J122" s="6"/>
      <c r="K122" s="6"/>
      <c r="L122" s="6"/>
      <c r="M122" s="6"/>
      <c r="N122" s="6"/>
      <c r="O122" s="6"/>
      <c r="P122" s="8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9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</row>
    <row r="123">
      <c r="A123" s="8"/>
      <c r="B123" s="104"/>
      <c r="C123" s="104"/>
      <c r="D123" s="105"/>
      <c r="E123" s="4"/>
      <c r="F123" s="5"/>
      <c r="G123" s="6"/>
      <c r="H123" s="4"/>
      <c r="I123" s="7"/>
      <c r="J123" s="6"/>
      <c r="K123" s="6"/>
      <c r="L123" s="6"/>
      <c r="M123" s="6"/>
      <c r="N123" s="6"/>
      <c r="O123" s="6"/>
      <c r="P123" s="8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9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</row>
    <row r="124">
      <c r="A124" s="8"/>
      <c r="B124" s="104"/>
      <c r="C124" s="104"/>
      <c r="D124" s="105"/>
      <c r="E124" s="4"/>
      <c r="F124" s="5"/>
      <c r="G124" s="6"/>
      <c r="H124" s="4"/>
      <c r="I124" s="7"/>
      <c r="J124" s="6"/>
      <c r="K124" s="6"/>
      <c r="L124" s="6"/>
      <c r="M124" s="6"/>
      <c r="N124" s="6"/>
      <c r="O124" s="6"/>
      <c r="P124" s="8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9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</row>
    <row r="125">
      <c r="A125" s="8"/>
      <c r="B125" s="104"/>
      <c r="C125" s="104"/>
      <c r="D125" s="105"/>
      <c r="E125" s="4"/>
      <c r="F125" s="5"/>
      <c r="G125" s="6"/>
      <c r="H125" s="4"/>
      <c r="I125" s="7"/>
      <c r="J125" s="6"/>
      <c r="K125" s="6"/>
      <c r="L125" s="6"/>
      <c r="M125" s="6"/>
      <c r="N125" s="6"/>
      <c r="O125" s="6"/>
      <c r="P125" s="8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9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</row>
    <row r="126">
      <c r="A126" s="8"/>
      <c r="B126" s="104"/>
      <c r="C126" s="104"/>
      <c r="D126" s="105"/>
      <c r="E126" s="4"/>
      <c r="F126" s="5"/>
      <c r="G126" s="6"/>
      <c r="H126" s="4"/>
      <c r="I126" s="7"/>
      <c r="J126" s="6"/>
      <c r="K126" s="6"/>
      <c r="L126" s="6"/>
      <c r="M126" s="6"/>
      <c r="N126" s="6"/>
      <c r="O126" s="6"/>
      <c r="P126" s="8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9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</row>
    <row r="127">
      <c r="A127" s="8"/>
      <c r="B127" s="104"/>
      <c r="C127" s="104"/>
      <c r="D127" s="105"/>
      <c r="E127" s="4"/>
      <c r="F127" s="5"/>
      <c r="G127" s="6"/>
      <c r="H127" s="4"/>
      <c r="I127" s="7"/>
      <c r="J127" s="6"/>
      <c r="K127" s="6"/>
      <c r="L127" s="6"/>
      <c r="M127" s="6"/>
      <c r="N127" s="6"/>
      <c r="O127" s="6"/>
      <c r="P127" s="8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9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</row>
    <row r="128">
      <c r="A128" s="8"/>
      <c r="B128" s="104"/>
      <c r="C128" s="104"/>
      <c r="D128" s="105"/>
      <c r="E128" s="4"/>
      <c r="F128" s="5"/>
      <c r="G128" s="6"/>
      <c r="H128" s="4"/>
      <c r="I128" s="7"/>
      <c r="J128" s="6"/>
      <c r="K128" s="6"/>
      <c r="L128" s="6"/>
      <c r="M128" s="6"/>
      <c r="N128" s="6"/>
      <c r="O128" s="6"/>
      <c r="P128" s="8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9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</row>
    <row r="129">
      <c r="A129" s="8"/>
      <c r="B129" s="104"/>
      <c r="C129" s="104"/>
      <c r="D129" s="105"/>
      <c r="E129" s="4"/>
      <c r="F129" s="5"/>
      <c r="G129" s="6"/>
      <c r="H129" s="4"/>
      <c r="I129" s="7"/>
      <c r="J129" s="6"/>
      <c r="K129" s="6"/>
      <c r="L129" s="6"/>
      <c r="M129" s="6"/>
      <c r="N129" s="6"/>
      <c r="O129" s="6"/>
      <c r="P129" s="8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9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</row>
    <row r="130">
      <c r="A130" s="8"/>
      <c r="B130" s="104"/>
      <c r="C130" s="104"/>
      <c r="D130" s="105"/>
      <c r="E130" s="4"/>
      <c r="F130" s="5"/>
      <c r="G130" s="6"/>
      <c r="H130" s="4"/>
      <c r="I130" s="7"/>
      <c r="J130" s="6"/>
      <c r="K130" s="6"/>
      <c r="L130" s="6"/>
      <c r="M130" s="6"/>
      <c r="N130" s="6"/>
      <c r="O130" s="6"/>
      <c r="P130" s="8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9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</row>
    <row r="131">
      <c r="A131" s="8"/>
      <c r="B131" s="104"/>
      <c r="C131" s="104"/>
      <c r="D131" s="105"/>
      <c r="E131" s="4"/>
      <c r="F131" s="5"/>
      <c r="G131" s="6"/>
      <c r="H131" s="4"/>
      <c r="I131" s="7"/>
      <c r="J131" s="6"/>
      <c r="K131" s="6"/>
      <c r="L131" s="6"/>
      <c r="M131" s="6"/>
      <c r="N131" s="6"/>
      <c r="O131" s="6"/>
      <c r="P131" s="8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9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</row>
    <row r="132">
      <c r="A132" s="8"/>
      <c r="B132" s="104"/>
      <c r="C132" s="104"/>
      <c r="D132" s="105"/>
      <c r="E132" s="4"/>
      <c r="F132" s="5"/>
      <c r="G132" s="6"/>
      <c r="H132" s="4"/>
      <c r="I132" s="7"/>
      <c r="J132" s="6"/>
      <c r="K132" s="6"/>
      <c r="L132" s="6"/>
      <c r="M132" s="6"/>
      <c r="N132" s="6"/>
      <c r="O132" s="6"/>
      <c r="P132" s="8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9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</row>
    <row r="133">
      <c r="A133" s="8"/>
      <c r="B133" s="104"/>
      <c r="C133" s="104"/>
      <c r="D133" s="105"/>
      <c r="E133" s="4"/>
      <c r="F133" s="5"/>
      <c r="G133" s="6"/>
      <c r="H133" s="4"/>
      <c r="I133" s="7"/>
      <c r="J133" s="6"/>
      <c r="K133" s="6"/>
      <c r="L133" s="6"/>
      <c r="M133" s="6"/>
      <c r="N133" s="6"/>
      <c r="O133" s="6"/>
      <c r="P133" s="8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9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</row>
    <row r="134">
      <c r="A134" s="8"/>
      <c r="B134" s="104"/>
      <c r="C134" s="104"/>
      <c r="D134" s="105"/>
      <c r="E134" s="4"/>
      <c r="F134" s="5"/>
      <c r="G134" s="6"/>
      <c r="H134" s="4"/>
      <c r="I134" s="7"/>
      <c r="J134" s="6"/>
      <c r="K134" s="6"/>
      <c r="L134" s="6"/>
      <c r="M134" s="6"/>
      <c r="N134" s="6"/>
      <c r="O134" s="6"/>
      <c r="P134" s="8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9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</row>
    <row r="135">
      <c r="A135" s="8"/>
      <c r="B135" s="104"/>
      <c r="C135" s="104"/>
      <c r="D135" s="105"/>
      <c r="E135" s="4"/>
      <c r="F135" s="5"/>
      <c r="G135" s="6"/>
      <c r="H135" s="4"/>
      <c r="I135" s="7"/>
      <c r="J135" s="6"/>
      <c r="K135" s="6"/>
      <c r="L135" s="6"/>
      <c r="M135" s="6"/>
      <c r="N135" s="6"/>
      <c r="O135" s="6"/>
      <c r="P135" s="8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9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</row>
    <row r="136">
      <c r="A136" s="8"/>
      <c r="B136" s="104"/>
      <c r="C136" s="104"/>
      <c r="D136" s="105"/>
      <c r="E136" s="4"/>
      <c r="F136" s="5"/>
      <c r="G136" s="6"/>
      <c r="H136" s="4"/>
      <c r="I136" s="7"/>
      <c r="J136" s="6"/>
      <c r="K136" s="6"/>
      <c r="L136" s="6"/>
      <c r="M136" s="6"/>
      <c r="N136" s="6"/>
      <c r="O136" s="6"/>
      <c r="P136" s="8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9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</row>
    <row r="137">
      <c r="A137" s="8"/>
      <c r="B137" s="104"/>
      <c r="C137" s="104"/>
      <c r="D137" s="105"/>
      <c r="E137" s="4"/>
      <c r="F137" s="5"/>
      <c r="G137" s="6"/>
      <c r="H137" s="4"/>
      <c r="I137" s="7"/>
      <c r="J137" s="6"/>
      <c r="K137" s="6"/>
      <c r="L137" s="6"/>
      <c r="M137" s="6"/>
      <c r="N137" s="6"/>
      <c r="O137" s="6"/>
      <c r="P137" s="8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9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</row>
    <row r="138">
      <c r="A138" s="8"/>
      <c r="B138" s="104"/>
      <c r="C138" s="104"/>
      <c r="D138" s="105"/>
      <c r="E138" s="4"/>
      <c r="F138" s="5"/>
      <c r="G138" s="6"/>
      <c r="H138" s="4"/>
      <c r="I138" s="7"/>
      <c r="J138" s="6"/>
      <c r="K138" s="6"/>
      <c r="L138" s="6"/>
      <c r="M138" s="6"/>
      <c r="N138" s="6"/>
      <c r="O138" s="6"/>
      <c r="P138" s="8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9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</row>
    <row r="139">
      <c r="A139" s="8"/>
      <c r="B139" s="104"/>
      <c r="C139" s="104"/>
      <c r="D139" s="105"/>
      <c r="E139" s="4"/>
      <c r="F139" s="5"/>
      <c r="G139" s="6"/>
      <c r="H139" s="4"/>
      <c r="I139" s="7"/>
      <c r="J139" s="6"/>
      <c r="K139" s="6"/>
      <c r="L139" s="6"/>
      <c r="M139" s="6"/>
      <c r="N139" s="6"/>
      <c r="O139" s="6"/>
      <c r="P139" s="8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9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</row>
    <row r="140">
      <c r="A140" s="8"/>
      <c r="B140" s="104"/>
      <c r="C140" s="104"/>
      <c r="D140" s="105"/>
      <c r="E140" s="4"/>
      <c r="F140" s="5"/>
      <c r="G140" s="6"/>
      <c r="H140" s="4"/>
      <c r="I140" s="7"/>
      <c r="J140" s="6"/>
      <c r="K140" s="6"/>
      <c r="L140" s="6"/>
      <c r="M140" s="6"/>
      <c r="N140" s="6"/>
      <c r="O140" s="6"/>
      <c r="P140" s="8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9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</row>
    <row r="141">
      <c r="A141" s="8"/>
      <c r="B141" s="104"/>
      <c r="C141" s="104"/>
      <c r="D141" s="105"/>
      <c r="E141" s="4"/>
      <c r="F141" s="5"/>
      <c r="G141" s="6"/>
      <c r="H141" s="4"/>
      <c r="I141" s="7"/>
      <c r="J141" s="6"/>
      <c r="K141" s="6"/>
      <c r="L141" s="6"/>
      <c r="M141" s="6"/>
      <c r="N141" s="6"/>
      <c r="O141" s="6"/>
      <c r="P141" s="8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9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</row>
    <row r="142">
      <c r="A142" s="8"/>
      <c r="B142" s="104"/>
      <c r="C142" s="104"/>
      <c r="D142" s="105"/>
      <c r="E142" s="4"/>
      <c r="F142" s="5"/>
      <c r="G142" s="6"/>
      <c r="H142" s="4"/>
      <c r="I142" s="7"/>
      <c r="J142" s="6"/>
      <c r="K142" s="6"/>
      <c r="L142" s="6"/>
      <c r="M142" s="6"/>
      <c r="N142" s="6"/>
      <c r="O142" s="6"/>
      <c r="P142" s="8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9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</row>
    <row r="143">
      <c r="A143" s="8"/>
      <c r="B143" s="104"/>
      <c r="C143" s="104"/>
      <c r="D143" s="105"/>
      <c r="E143" s="4"/>
      <c r="F143" s="5"/>
      <c r="G143" s="6"/>
      <c r="H143" s="4"/>
      <c r="I143" s="7"/>
      <c r="J143" s="6"/>
      <c r="K143" s="6"/>
      <c r="L143" s="6"/>
      <c r="M143" s="6"/>
      <c r="N143" s="6"/>
      <c r="O143" s="6"/>
      <c r="P143" s="8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9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</row>
    <row r="144">
      <c r="A144" s="8"/>
      <c r="B144" s="104"/>
      <c r="C144" s="104"/>
      <c r="D144" s="105"/>
      <c r="E144" s="4"/>
      <c r="F144" s="5"/>
      <c r="G144" s="6"/>
      <c r="H144" s="4"/>
      <c r="I144" s="7"/>
      <c r="J144" s="6"/>
      <c r="K144" s="6"/>
      <c r="L144" s="6"/>
      <c r="M144" s="6"/>
      <c r="N144" s="6"/>
      <c r="O144" s="6"/>
      <c r="P144" s="8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9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</row>
    <row r="145">
      <c r="A145" s="8"/>
      <c r="B145" s="104"/>
      <c r="C145" s="104"/>
      <c r="D145" s="105"/>
      <c r="E145" s="4"/>
      <c r="F145" s="5"/>
      <c r="G145" s="6"/>
      <c r="H145" s="4"/>
      <c r="I145" s="7"/>
      <c r="J145" s="6"/>
      <c r="K145" s="6"/>
      <c r="L145" s="6"/>
      <c r="M145" s="6"/>
      <c r="N145" s="6"/>
      <c r="O145" s="6"/>
      <c r="P145" s="8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9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</row>
    <row r="146">
      <c r="A146" s="8"/>
      <c r="B146" s="104"/>
      <c r="C146" s="104"/>
      <c r="D146" s="105"/>
      <c r="E146" s="4"/>
      <c r="F146" s="5"/>
      <c r="G146" s="6"/>
      <c r="H146" s="4"/>
      <c r="I146" s="7"/>
      <c r="J146" s="6"/>
      <c r="K146" s="6"/>
      <c r="L146" s="6"/>
      <c r="M146" s="6"/>
      <c r="N146" s="6"/>
      <c r="O146" s="6"/>
      <c r="P146" s="8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9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</row>
    <row r="147">
      <c r="A147" s="8"/>
      <c r="B147" s="104"/>
      <c r="C147" s="104"/>
      <c r="D147" s="105"/>
      <c r="E147" s="4"/>
      <c r="F147" s="5"/>
      <c r="G147" s="6"/>
      <c r="H147" s="4"/>
      <c r="I147" s="7"/>
      <c r="J147" s="6"/>
      <c r="K147" s="6"/>
      <c r="L147" s="6"/>
      <c r="M147" s="6"/>
      <c r="N147" s="6"/>
      <c r="O147" s="6"/>
      <c r="P147" s="8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9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9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9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9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9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9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9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9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9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9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9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9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9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9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9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9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9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9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9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9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9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9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9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9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9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9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9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9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9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9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9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9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9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9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9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9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9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9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9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9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9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9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9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9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9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9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9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9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9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9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9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9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9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9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9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9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9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9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9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9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9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9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9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9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9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9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9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9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9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9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9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9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9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9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9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9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9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9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9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9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9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9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9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9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9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9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9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9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9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9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9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9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9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9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9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9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9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9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9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9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9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9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9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9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9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9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9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9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9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9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9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9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9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9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9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9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9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9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9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9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9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9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9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9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9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9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9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9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9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9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9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9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9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9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9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9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9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9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9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9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9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9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9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9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9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9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9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9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9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9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9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9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9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9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9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9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9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9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9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9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9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9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9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9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9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9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9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9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9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9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9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9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9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9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9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9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9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9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9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9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9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9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9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9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9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9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9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9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9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9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9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9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9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9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9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9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9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9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9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9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9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9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9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9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9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9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9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9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9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9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9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9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9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9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9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9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9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9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9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9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9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9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9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9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9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9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9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9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9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9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9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9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9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9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9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9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9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9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9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9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9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9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9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9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9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9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9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9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9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9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9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9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9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9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9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9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9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9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9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9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9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9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9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9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9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9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9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9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9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9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9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9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9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9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9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9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9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9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9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9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9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9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9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9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9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9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9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9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9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9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9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9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9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9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9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9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9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9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9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9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9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9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9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9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9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9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9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9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9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9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9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9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9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9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9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9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9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9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9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9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9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9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9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9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9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9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9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9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9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9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9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9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9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9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9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9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9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9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9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9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9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9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9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9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9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9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9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9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9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9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9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9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9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9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9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9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9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9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9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9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9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9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9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9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9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9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9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9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9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9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9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9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9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9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9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9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9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9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9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9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9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9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9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9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9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9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9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9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9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9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9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9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9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9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9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9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9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9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9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9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9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9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9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9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9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9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9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9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9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9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9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9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9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9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9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9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9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9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9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9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9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9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9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9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9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9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9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9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9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9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9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9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9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9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9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9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9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9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9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9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9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9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9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9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9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9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9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9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9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9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9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9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9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9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9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9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9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9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9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9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9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9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9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9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9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9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9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9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9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9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9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9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9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9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9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9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9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9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9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9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9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9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9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9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9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9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9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9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9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9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9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9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9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9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9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9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9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9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9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9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9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9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9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9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9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9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9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9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9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9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9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9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9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9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9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9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9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9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9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9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9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9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9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9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9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9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9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9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9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9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9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9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9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9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9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9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9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9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9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9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9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9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9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9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9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9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9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9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9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9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9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9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9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9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9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9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9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9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9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9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9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9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9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9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9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9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9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9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9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9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9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9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9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9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9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9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9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9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9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9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9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9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9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9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9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9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9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9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9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9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9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9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9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9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9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9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9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9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9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9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9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9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9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9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9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9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9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9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9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9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9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9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9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9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9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9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9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9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9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9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9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9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9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9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9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9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9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9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9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9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9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9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9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9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9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9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9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9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9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9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9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9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9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9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9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9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9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9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9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9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9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9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9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9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9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9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9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9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9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9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9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9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9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9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9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9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9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9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9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9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9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9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9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9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9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9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9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9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9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9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9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9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9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9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9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9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9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9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9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9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9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9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9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9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9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9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9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9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9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9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9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</row>
  </sheetData>
  <mergeCells count="68">
    <mergeCell ref="BK5:BK7"/>
    <mergeCell ref="BL5:BL7"/>
    <mergeCell ref="BM5:BM7"/>
    <mergeCell ref="BN5:BN7"/>
    <mergeCell ref="BO5:BO7"/>
    <mergeCell ref="BP5:BP7"/>
    <mergeCell ref="BQ5:BQ7"/>
    <mergeCell ref="BY5:BY7"/>
    <mergeCell ref="BZ5:BZ7"/>
    <mergeCell ref="CA5:CA7"/>
    <mergeCell ref="CB5:CB7"/>
    <mergeCell ref="BR5:BR7"/>
    <mergeCell ref="BS5:BS7"/>
    <mergeCell ref="BT5:BT7"/>
    <mergeCell ref="BU5:BU7"/>
    <mergeCell ref="BV5:BV7"/>
    <mergeCell ref="BW5:BW7"/>
    <mergeCell ref="BX5:BX7"/>
    <mergeCell ref="A1:B1"/>
    <mergeCell ref="A2:B2"/>
    <mergeCell ref="A3:B3"/>
    <mergeCell ref="D4:E4"/>
    <mergeCell ref="A5:B7"/>
    <mergeCell ref="C5:C7"/>
    <mergeCell ref="D5:D7"/>
    <mergeCell ref="A8:B8"/>
    <mergeCell ref="E5:E7"/>
    <mergeCell ref="F5:F7"/>
    <mergeCell ref="G5:G7"/>
    <mergeCell ref="H5:H7"/>
    <mergeCell ref="I5:I7"/>
    <mergeCell ref="J5:J7"/>
    <mergeCell ref="K5:K7"/>
    <mergeCell ref="L5:L7"/>
    <mergeCell ref="M5:M7"/>
    <mergeCell ref="N5:N7"/>
    <mergeCell ref="O5:O7"/>
    <mergeCell ref="P5:P7"/>
    <mergeCell ref="Q5:Q7"/>
    <mergeCell ref="R5:R7"/>
    <mergeCell ref="S5:S7"/>
    <mergeCell ref="T5:T7"/>
    <mergeCell ref="U5:U7"/>
    <mergeCell ref="V5:V7"/>
    <mergeCell ref="W5:W7"/>
    <mergeCell ref="X5:X7"/>
    <mergeCell ref="Y5:Y7"/>
    <mergeCell ref="Z5:Z7"/>
    <mergeCell ref="AA5:AA7"/>
    <mergeCell ref="AB5:AB7"/>
    <mergeCell ref="AC5:AC7"/>
    <mergeCell ref="AD5:AD7"/>
    <mergeCell ref="AE5:AE7"/>
    <mergeCell ref="AF5:AF7"/>
    <mergeCell ref="AG5:AG7"/>
    <mergeCell ref="AH5:AH7"/>
    <mergeCell ref="AI5:AI7"/>
    <mergeCell ref="AY5:AY7"/>
    <mergeCell ref="AZ5:AZ7"/>
    <mergeCell ref="BB5:BB7"/>
    <mergeCell ref="BC5:BC7"/>
    <mergeCell ref="BD5:BD7"/>
    <mergeCell ref="BE5:BE7"/>
    <mergeCell ref="BF5:BF7"/>
    <mergeCell ref="BG5:BG7"/>
    <mergeCell ref="BH5:BH7"/>
    <mergeCell ref="BI5:BI7"/>
    <mergeCell ref="BJ5:BJ7"/>
  </mergeCells>
  <printOptions/>
  <pageMargins bottom="0.748031496062992" footer="0.0" header="0.0" left="0.25" right="2.46" top="0.41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2.63" defaultRowHeight="15.75"/>
  <cols>
    <col customWidth="1" min="1" max="1" width="4.5"/>
    <col customWidth="1" min="2" max="2" width="35.88"/>
    <col customWidth="1" min="3" max="3" width="20.88"/>
    <col customWidth="1" min="4" max="4" width="11.38"/>
    <col customWidth="1" min="5" max="5" width="11.88"/>
    <col customWidth="1" min="6" max="9" width="9.75"/>
    <col customWidth="1" min="10" max="12" width="15.5"/>
    <col customWidth="1" min="13" max="13" width="16.5"/>
    <col customWidth="1" min="14" max="15" width="15.5"/>
    <col customWidth="1" min="16" max="16" width="12.0"/>
    <col customWidth="1" min="17" max="17" width="12.25"/>
    <col customWidth="1" min="18" max="18" width="15.25"/>
    <col customWidth="1" min="19" max="19" width="14.63"/>
    <col customWidth="1" min="20" max="20" width="13.63"/>
    <col customWidth="1" min="21" max="34" width="12.5"/>
    <col customWidth="1" min="35" max="35" width="14.63"/>
    <col customWidth="1" min="36" max="52" width="12.5"/>
  </cols>
  <sheetData>
    <row r="1" hidden="1">
      <c r="A1" s="1" t="s">
        <v>0</v>
      </c>
      <c r="C1" s="2"/>
      <c r="D1" s="3" t="s">
        <v>1</v>
      </c>
      <c r="E1" s="4"/>
      <c r="F1" s="5"/>
      <c r="G1" s="6"/>
      <c r="H1" s="4"/>
      <c r="I1" s="7"/>
      <c r="J1" s="6"/>
      <c r="K1" s="6"/>
      <c r="L1" s="6"/>
      <c r="M1" s="6"/>
      <c r="N1" s="6"/>
      <c r="O1" s="6"/>
      <c r="P1" s="8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hidden="1">
      <c r="A2" s="1" t="s">
        <v>2</v>
      </c>
      <c r="C2" s="2"/>
      <c r="D2" s="3" t="s">
        <v>1</v>
      </c>
      <c r="E2" s="2"/>
      <c r="F2" s="2"/>
      <c r="G2" s="6"/>
      <c r="H2" s="4"/>
      <c r="I2" s="7"/>
      <c r="J2" s="6"/>
      <c r="K2" s="6"/>
      <c r="L2" s="6"/>
      <c r="M2" s="6"/>
      <c r="N2" s="6"/>
      <c r="O2" s="6"/>
      <c r="P2" s="8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hidden="1">
      <c r="A3" s="1" t="s">
        <v>3</v>
      </c>
      <c r="C3" s="2"/>
      <c r="D3" s="3" t="s">
        <v>1</v>
      </c>
      <c r="E3" s="2"/>
      <c r="F3" s="5"/>
      <c r="G3" s="6"/>
      <c r="H3" s="4"/>
      <c r="I3" s="7"/>
      <c r="J3" s="6"/>
      <c r="K3" s="6"/>
      <c r="L3" s="6"/>
      <c r="M3" s="6"/>
      <c r="N3" s="6"/>
      <c r="O3" s="6"/>
      <c r="P3" s="8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>
      <c r="A4" s="10" t="s">
        <v>4</v>
      </c>
      <c r="B4" s="2"/>
      <c r="C4" s="2"/>
      <c r="D4" s="11"/>
      <c r="F4" s="12"/>
      <c r="G4" s="13"/>
      <c r="H4" s="14"/>
      <c r="I4" s="15"/>
      <c r="J4" s="16"/>
      <c r="K4" s="16"/>
      <c r="L4" s="16"/>
      <c r="M4" s="16"/>
      <c r="N4" s="16"/>
      <c r="O4" s="16"/>
      <c r="P4" s="17"/>
      <c r="Q4" s="2"/>
      <c r="R4" s="2"/>
      <c r="S4" s="2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>
      <c r="A5" s="19" t="s">
        <v>6</v>
      </c>
      <c r="B5" s="20"/>
      <c r="C5" s="21" t="s">
        <v>7</v>
      </c>
      <c r="D5" s="22" t="s">
        <v>8</v>
      </c>
      <c r="E5" s="23" t="s">
        <v>9</v>
      </c>
      <c r="F5" s="22" t="s">
        <v>10</v>
      </c>
      <c r="G5" s="22" t="s">
        <v>11</v>
      </c>
      <c r="H5" s="23" t="s">
        <v>12</v>
      </c>
      <c r="I5" s="22" t="s">
        <v>13</v>
      </c>
      <c r="J5" s="24" t="s">
        <v>14</v>
      </c>
      <c r="K5" s="24" t="s">
        <v>15</v>
      </c>
      <c r="L5" s="24" t="s">
        <v>16</v>
      </c>
      <c r="M5" s="24" t="s">
        <v>17</v>
      </c>
      <c r="N5" s="24" t="s">
        <v>18</v>
      </c>
      <c r="O5" s="24" t="s">
        <v>19</v>
      </c>
      <c r="P5" s="24" t="s">
        <v>20</v>
      </c>
      <c r="Q5" s="24" t="s">
        <v>21</v>
      </c>
      <c r="R5" s="25" t="s">
        <v>22</v>
      </c>
      <c r="S5" s="26" t="s">
        <v>23</v>
      </c>
      <c r="T5" s="27" t="s">
        <v>24</v>
      </c>
      <c r="U5" s="27" t="s">
        <v>25</v>
      </c>
      <c r="V5" s="27" t="s">
        <v>26</v>
      </c>
      <c r="W5" s="27" t="s">
        <v>27</v>
      </c>
      <c r="X5" s="27" t="s">
        <v>28</v>
      </c>
      <c r="Y5" s="27" t="s">
        <v>29</v>
      </c>
      <c r="Z5" s="27" t="s">
        <v>30</v>
      </c>
      <c r="AA5" s="27" t="s">
        <v>31</v>
      </c>
      <c r="AB5" s="27" t="s">
        <v>32</v>
      </c>
      <c r="AC5" s="27" t="s">
        <v>33</v>
      </c>
      <c r="AD5" s="27" t="s">
        <v>34</v>
      </c>
      <c r="AE5" s="27" t="s">
        <v>35</v>
      </c>
      <c r="AF5" s="27"/>
      <c r="AG5" s="27"/>
      <c r="AH5" s="27"/>
      <c r="AI5" s="28" t="s">
        <v>36</v>
      </c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8" t="s">
        <v>37</v>
      </c>
      <c r="AZ5" s="28" t="s">
        <v>38</v>
      </c>
    </row>
    <row r="6">
      <c r="A6" s="30"/>
      <c r="B6" s="31"/>
      <c r="C6" s="32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33"/>
      <c r="AZ6" s="33"/>
    </row>
    <row r="7">
      <c r="A7" s="35"/>
      <c r="B7" s="36"/>
      <c r="C7" s="37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38"/>
      <c r="AZ7" s="38"/>
    </row>
    <row r="8">
      <c r="A8" s="39" t="s">
        <v>52</v>
      </c>
      <c r="B8" s="40"/>
      <c r="C8" s="41"/>
      <c r="D8" s="41">
        <v>2024.0</v>
      </c>
      <c r="E8" s="41">
        <v>2024.0</v>
      </c>
      <c r="F8" s="41">
        <v>2024.0</v>
      </c>
      <c r="G8" s="41">
        <v>2024.0</v>
      </c>
      <c r="H8" s="41">
        <v>2024.0</v>
      </c>
      <c r="I8" s="41">
        <v>2024.0</v>
      </c>
      <c r="J8" s="42">
        <v>2024.0</v>
      </c>
      <c r="K8" s="42">
        <v>2024.0</v>
      </c>
      <c r="L8" s="42">
        <v>2024.0</v>
      </c>
      <c r="M8" s="42">
        <v>2024.0</v>
      </c>
      <c r="N8" s="43" t="s">
        <v>62</v>
      </c>
      <c r="O8" s="43" t="s">
        <v>64</v>
      </c>
      <c r="P8" s="43" t="s">
        <v>62</v>
      </c>
      <c r="Q8" s="43" t="s">
        <v>64</v>
      </c>
      <c r="R8" s="44">
        <v>2024.0</v>
      </c>
      <c r="S8" s="45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6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47"/>
      <c r="AZ8" s="47"/>
    </row>
    <row r="9">
      <c r="A9" s="48" t="s">
        <v>69</v>
      </c>
      <c r="B9" s="49"/>
      <c r="C9" s="49"/>
      <c r="D9" s="49"/>
      <c r="E9" s="49"/>
      <c r="F9" s="49"/>
      <c r="G9" s="49"/>
      <c r="H9" s="49"/>
      <c r="I9" s="49"/>
      <c r="J9" s="50"/>
      <c r="K9" s="50"/>
      <c r="L9" s="50"/>
      <c r="M9" s="50"/>
      <c r="N9" s="50"/>
      <c r="O9" s="50"/>
      <c r="P9" s="51"/>
      <c r="Q9" s="51"/>
      <c r="R9" s="51"/>
      <c r="S9" s="45"/>
      <c r="T9" s="52">
        <f>S10</f>
        <v>19486597255</v>
      </c>
      <c r="U9" s="52">
        <f>S11</f>
        <v>2803478148</v>
      </c>
      <c r="V9" s="52">
        <f>S12</f>
        <v>5859631823</v>
      </c>
      <c r="W9" s="52">
        <f>S13</f>
        <v>5206867968</v>
      </c>
      <c r="X9" s="52">
        <f>S14</f>
        <v>5382761768</v>
      </c>
      <c r="Y9" s="52">
        <f>S15</f>
        <v>3630811229</v>
      </c>
      <c r="Z9" s="52">
        <f>S16</f>
        <v>2682880384</v>
      </c>
      <c r="AA9" s="52">
        <f>S17</f>
        <v>1800200000</v>
      </c>
      <c r="AB9" s="52">
        <f>S18</f>
        <v>10800500200</v>
      </c>
      <c r="AC9" s="52">
        <f>S19</f>
        <v>4400341000</v>
      </c>
      <c r="AD9" s="52">
        <f>S20</f>
        <v>3900000000</v>
      </c>
      <c r="AE9" s="52">
        <f>S21</f>
        <v>333936070</v>
      </c>
      <c r="AF9" s="51"/>
      <c r="AG9" s="51"/>
      <c r="AH9" s="51"/>
      <c r="AI9" s="46">
        <f>sum(S9:AH9)</f>
        <v>66288005845</v>
      </c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53"/>
      <c r="AZ9" s="53"/>
    </row>
    <row r="10">
      <c r="A10" s="54">
        <v>1.0</v>
      </c>
      <c r="B10" s="18" t="s">
        <v>24</v>
      </c>
      <c r="C10" s="18" t="s">
        <v>8</v>
      </c>
      <c r="D10" s="55">
        <v>140.0</v>
      </c>
      <c r="E10" s="56"/>
      <c r="F10" s="57"/>
      <c r="G10" s="57"/>
      <c r="H10" s="56"/>
      <c r="I10" s="56"/>
      <c r="J10" s="58">
        <v>1.344E10</v>
      </c>
      <c r="K10" s="59"/>
      <c r="L10" s="59"/>
      <c r="M10" s="58">
        <v>5.2E9</v>
      </c>
      <c r="N10" s="58">
        <v>7.242E9</v>
      </c>
      <c r="O10" s="60">
        <v>1.26904E10</v>
      </c>
      <c r="P10" s="62">
        <f t="shared" ref="P10:P21" si="1">ROUND((N10/$N$74*$P$75)/5,0)</f>
        <v>692654792</v>
      </c>
      <c r="Q10" s="62">
        <f t="shared" ref="Q10:Q21" si="2">ROUND((O10/$O$74*$Q$75)/40,0)</f>
        <v>153942463</v>
      </c>
      <c r="R10" s="65">
        <v>840.0</v>
      </c>
      <c r="S10" s="46">
        <f t="shared" ref="S10:S72" si="3">ROUND(J10+K10+L10+M10+P10+Q10,0)</f>
        <v>19486597255</v>
      </c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46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46"/>
      <c r="AZ10" s="46"/>
    </row>
    <row r="11">
      <c r="A11" s="54">
        <v>2.0</v>
      </c>
      <c r="B11" s="18" t="s">
        <v>25</v>
      </c>
      <c r="C11" s="18" t="s">
        <v>8</v>
      </c>
      <c r="D11" s="55">
        <v>25.0</v>
      </c>
      <c r="E11" s="56"/>
      <c r="F11" s="57"/>
      <c r="G11" s="57"/>
      <c r="H11" s="56"/>
      <c r="I11" s="56"/>
      <c r="J11" s="55">
        <v>1.905E9</v>
      </c>
      <c r="K11" s="66"/>
      <c r="L11" s="66"/>
      <c r="M11" s="55">
        <v>6.3E8</v>
      </c>
      <c r="N11" s="55">
        <v>2.457E9</v>
      </c>
      <c r="O11" s="67">
        <v>2.76E9</v>
      </c>
      <c r="P11" s="62">
        <f t="shared" si="1"/>
        <v>234997628</v>
      </c>
      <c r="Q11" s="62">
        <f t="shared" si="2"/>
        <v>33480520</v>
      </c>
      <c r="R11" s="65">
        <v>150.0</v>
      </c>
      <c r="S11" s="46">
        <f t="shared" si="3"/>
        <v>2803478148</v>
      </c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46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46"/>
      <c r="AZ11" s="46"/>
    </row>
    <row r="12">
      <c r="A12" s="54">
        <v>3.0</v>
      </c>
      <c r="B12" s="18" t="s">
        <v>26</v>
      </c>
      <c r="C12" s="18" t="s">
        <v>8</v>
      </c>
      <c r="D12" s="55">
        <v>45.0</v>
      </c>
      <c r="E12" s="56"/>
      <c r="F12" s="57"/>
      <c r="G12" s="57"/>
      <c r="H12" s="56"/>
      <c r="I12" s="56"/>
      <c r="J12" s="55">
        <v>3.429E9</v>
      </c>
      <c r="K12" s="66"/>
      <c r="L12" s="66"/>
      <c r="M12" s="55">
        <v>1.7E9</v>
      </c>
      <c r="N12" s="55">
        <v>6.63E9</v>
      </c>
      <c r="O12" s="67">
        <v>7.956E9</v>
      </c>
      <c r="P12" s="62">
        <f t="shared" si="1"/>
        <v>634120584</v>
      </c>
      <c r="Q12" s="62">
        <f t="shared" si="2"/>
        <v>96511239</v>
      </c>
      <c r="R12" s="65">
        <v>360.0</v>
      </c>
      <c r="S12" s="46">
        <f t="shared" si="3"/>
        <v>5859631823</v>
      </c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46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46"/>
      <c r="AZ12" s="46"/>
    </row>
    <row r="13">
      <c r="A13" s="54">
        <v>4.0</v>
      </c>
      <c r="B13" s="18" t="s">
        <v>27</v>
      </c>
      <c r="C13" s="18" t="s">
        <v>8</v>
      </c>
      <c r="D13" s="55">
        <v>40.0</v>
      </c>
      <c r="E13" s="56"/>
      <c r="F13" s="57"/>
      <c r="G13" s="57"/>
      <c r="H13" s="56"/>
      <c r="I13" s="56"/>
      <c r="J13" s="55">
        <v>3.048E9</v>
      </c>
      <c r="K13" s="66"/>
      <c r="L13" s="66"/>
      <c r="M13" s="55">
        <v>1.5E9</v>
      </c>
      <c r="N13" s="55">
        <v>5.85E9</v>
      </c>
      <c r="O13" s="67">
        <v>8.189999999999999E9</v>
      </c>
      <c r="P13" s="62">
        <f t="shared" si="1"/>
        <v>559518163</v>
      </c>
      <c r="Q13" s="62">
        <f t="shared" si="2"/>
        <v>99349805</v>
      </c>
      <c r="R13" s="65">
        <v>400.0</v>
      </c>
      <c r="S13" s="46">
        <f t="shared" si="3"/>
        <v>5206867968</v>
      </c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46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46"/>
      <c r="AZ13" s="46"/>
    </row>
    <row r="14">
      <c r="A14" s="54">
        <v>5.0</v>
      </c>
      <c r="B14" s="18" t="s">
        <v>28</v>
      </c>
      <c r="C14" s="18" t="s">
        <v>8</v>
      </c>
      <c r="D14" s="55">
        <v>50.0</v>
      </c>
      <c r="E14" s="56"/>
      <c r="F14" s="57"/>
      <c r="G14" s="57"/>
      <c r="H14" s="56"/>
      <c r="I14" s="56"/>
      <c r="J14" s="55">
        <v>3.81E9</v>
      </c>
      <c r="K14" s="66"/>
      <c r="L14" s="66"/>
      <c r="M14" s="55">
        <v>1.1E9</v>
      </c>
      <c r="N14" s="55">
        <v>4.29E9</v>
      </c>
      <c r="O14" s="67">
        <v>5.148E9</v>
      </c>
      <c r="P14" s="62">
        <f t="shared" si="1"/>
        <v>410313319</v>
      </c>
      <c r="Q14" s="62">
        <f t="shared" si="2"/>
        <v>62448449</v>
      </c>
      <c r="R14" s="65">
        <v>330.0</v>
      </c>
      <c r="S14" s="46">
        <f t="shared" si="3"/>
        <v>5382761768</v>
      </c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46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46"/>
      <c r="AZ14" s="46"/>
    </row>
    <row r="15">
      <c r="A15" s="54">
        <v>6.0</v>
      </c>
      <c r="B15" s="18" t="s">
        <v>29</v>
      </c>
      <c r="C15" s="68" t="s">
        <v>8</v>
      </c>
      <c r="D15" s="55">
        <v>30.0</v>
      </c>
      <c r="E15" s="56"/>
      <c r="F15" s="57"/>
      <c r="G15" s="57"/>
      <c r="H15" s="56"/>
      <c r="I15" s="56"/>
      <c r="J15" s="55">
        <v>2.286E9</v>
      </c>
      <c r="K15" s="66"/>
      <c r="L15" s="66"/>
      <c r="M15" s="55">
        <v>1.26E9</v>
      </c>
      <c r="N15" s="55">
        <v>4.2E8</v>
      </c>
      <c r="O15" s="67">
        <v>3.68E9</v>
      </c>
      <c r="P15" s="62">
        <f t="shared" si="1"/>
        <v>40170535</v>
      </c>
      <c r="Q15" s="62">
        <f t="shared" si="2"/>
        <v>44640694</v>
      </c>
      <c r="R15" s="65">
        <v>80.0</v>
      </c>
      <c r="S15" s="46">
        <f t="shared" si="3"/>
        <v>3630811229</v>
      </c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46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46"/>
      <c r="AZ15" s="46"/>
    </row>
    <row r="16">
      <c r="A16" s="54">
        <v>7.0</v>
      </c>
      <c r="B16" s="18" t="s">
        <v>30</v>
      </c>
      <c r="C16" s="68" t="s">
        <v>8</v>
      </c>
      <c r="D16" s="55">
        <v>30.0</v>
      </c>
      <c r="E16" s="56"/>
      <c r="F16" s="57"/>
      <c r="G16" s="57"/>
      <c r="H16" s="56"/>
      <c r="I16" s="56"/>
      <c r="J16" s="55">
        <v>2.286E9</v>
      </c>
      <c r="K16" s="66"/>
      <c r="L16" s="66"/>
      <c r="M16" s="55">
        <v>2.75E8</v>
      </c>
      <c r="N16" s="55">
        <v>5.6E8</v>
      </c>
      <c r="O16" s="67">
        <v>5.632E9</v>
      </c>
      <c r="P16" s="62">
        <f t="shared" si="1"/>
        <v>53560713</v>
      </c>
      <c r="Q16" s="62">
        <f t="shared" si="2"/>
        <v>68319671</v>
      </c>
      <c r="R16" s="65">
        <v>120.0</v>
      </c>
      <c r="S16" s="46">
        <f t="shared" si="3"/>
        <v>2682880384</v>
      </c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46"/>
      <c r="AJ16" s="70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46"/>
      <c r="AZ16" s="46"/>
    </row>
    <row r="17">
      <c r="A17" s="54">
        <v>8.0</v>
      </c>
      <c r="B17" s="18" t="s">
        <v>31</v>
      </c>
      <c r="C17" s="18" t="s">
        <v>74</v>
      </c>
      <c r="D17" s="71"/>
      <c r="E17" s="56"/>
      <c r="F17" s="57"/>
      <c r="G17" s="57"/>
      <c r="H17" s="56"/>
      <c r="I17" s="56"/>
      <c r="J17" s="56"/>
      <c r="K17" s="66"/>
      <c r="L17" s="66"/>
      <c r="M17" s="72">
        <v>1.8002E9</v>
      </c>
      <c r="N17" s="66"/>
      <c r="O17" s="73"/>
      <c r="P17" s="62">
        <f t="shared" si="1"/>
        <v>0</v>
      </c>
      <c r="Q17" s="62">
        <f t="shared" si="2"/>
        <v>0</v>
      </c>
      <c r="R17" s="65"/>
      <c r="S17" s="46">
        <f t="shared" si="3"/>
        <v>1800200000</v>
      </c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46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46"/>
      <c r="AZ17" s="46"/>
    </row>
    <row r="18">
      <c r="A18" s="54">
        <v>9.0</v>
      </c>
      <c r="B18" s="18" t="s">
        <v>32</v>
      </c>
      <c r="C18" s="18" t="s">
        <v>75</v>
      </c>
      <c r="D18" s="71"/>
      <c r="E18" s="56"/>
      <c r="F18" s="57"/>
      <c r="G18" s="57"/>
      <c r="H18" s="56"/>
      <c r="I18" s="56"/>
      <c r="J18" s="56"/>
      <c r="K18" s="66"/>
      <c r="L18" s="66"/>
      <c r="M18" s="55">
        <v>1.08005002E10</v>
      </c>
      <c r="N18" s="66"/>
      <c r="O18" s="73"/>
      <c r="P18" s="62">
        <f t="shared" si="1"/>
        <v>0</v>
      </c>
      <c r="Q18" s="62">
        <f t="shared" si="2"/>
        <v>0</v>
      </c>
      <c r="R18" s="65"/>
      <c r="S18" s="46">
        <f t="shared" si="3"/>
        <v>10800500200</v>
      </c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46"/>
      <c r="AJ18" s="74"/>
      <c r="AK18" s="74"/>
      <c r="AL18" s="74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46"/>
      <c r="AZ18" s="46"/>
    </row>
    <row r="19">
      <c r="A19" s="54">
        <v>10.0</v>
      </c>
      <c r="B19" s="18" t="s">
        <v>33</v>
      </c>
      <c r="C19" s="18" t="s">
        <v>76</v>
      </c>
      <c r="D19" s="71"/>
      <c r="E19" s="56"/>
      <c r="F19" s="57"/>
      <c r="G19" s="57"/>
      <c r="H19" s="56"/>
      <c r="I19" s="56"/>
      <c r="J19" s="56"/>
      <c r="K19" s="66"/>
      <c r="L19" s="66"/>
      <c r="M19" s="55">
        <v>4.400341E9</v>
      </c>
      <c r="N19" s="66"/>
      <c r="O19" s="73"/>
      <c r="P19" s="62">
        <f t="shared" si="1"/>
        <v>0</v>
      </c>
      <c r="Q19" s="62">
        <f t="shared" si="2"/>
        <v>0</v>
      </c>
      <c r="R19" s="65"/>
      <c r="S19" s="46">
        <f t="shared" si="3"/>
        <v>4400341000</v>
      </c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46"/>
      <c r="AJ19" s="74"/>
      <c r="AK19" s="74"/>
      <c r="AL19" s="74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46"/>
      <c r="AZ19" s="46"/>
    </row>
    <row r="20">
      <c r="A20" s="54">
        <v>11.0</v>
      </c>
      <c r="B20" s="18" t="s">
        <v>34</v>
      </c>
      <c r="C20" s="18" t="s">
        <v>77</v>
      </c>
      <c r="D20" s="71"/>
      <c r="E20" s="56"/>
      <c r="F20" s="57"/>
      <c r="G20" s="57"/>
      <c r="H20" s="56"/>
      <c r="I20" s="56"/>
      <c r="J20" s="56"/>
      <c r="K20" s="66"/>
      <c r="L20" s="66"/>
      <c r="M20" s="55">
        <v>3.9E9</v>
      </c>
      <c r="N20" s="66"/>
      <c r="O20" s="73"/>
      <c r="P20" s="62">
        <f t="shared" si="1"/>
        <v>0</v>
      </c>
      <c r="Q20" s="62">
        <f t="shared" si="2"/>
        <v>0</v>
      </c>
      <c r="R20" s="65"/>
      <c r="S20" s="46">
        <f t="shared" si="3"/>
        <v>3900000000</v>
      </c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46"/>
      <c r="AJ20" s="74"/>
      <c r="AK20" s="74"/>
      <c r="AL20" s="74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46"/>
      <c r="AZ20" s="46"/>
    </row>
    <row r="21">
      <c r="A21" s="54">
        <v>12.0</v>
      </c>
      <c r="B21" s="18" t="s">
        <v>35</v>
      </c>
      <c r="C21" s="18" t="s">
        <v>75</v>
      </c>
      <c r="D21" s="76">
        <v>5.0</v>
      </c>
      <c r="E21" s="56"/>
      <c r="F21" s="57"/>
      <c r="G21" s="57"/>
      <c r="H21" s="56"/>
      <c r="I21" s="56"/>
      <c r="J21" s="55">
        <v>2.4E8</v>
      </c>
      <c r="K21" s="66"/>
      <c r="L21" s="66"/>
      <c r="M21" s="72">
        <v>7.8E7</v>
      </c>
      <c r="N21" s="72">
        <v>1.314E8</v>
      </c>
      <c r="O21" s="67">
        <v>2.7768E8</v>
      </c>
      <c r="P21" s="62">
        <f t="shared" si="1"/>
        <v>12567639</v>
      </c>
      <c r="Q21" s="62">
        <f t="shared" si="2"/>
        <v>3368431</v>
      </c>
      <c r="R21" s="65">
        <v>1300.0</v>
      </c>
      <c r="S21" s="46">
        <f t="shared" si="3"/>
        <v>333936070</v>
      </c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46"/>
      <c r="AJ21" s="74"/>
      <c r="AK21" s="74"/>
      <c r="AL21" s="74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46"/>
      <c r="AZ21" s="46"/>
    </row>
    <row r="22">
      <c r="A22" s="54"/>
      <c r="B22" s="18" t="s">
        <v>78</v>
      </c>
      <c r="C22" s="18"/>
      <c r="D22" s="76"/>
      <c r="E22" s="78"/>
      <c r="F22" s="55"/>
      <c r="G22" s="55"/>
      <c r="H22" s="78"/>
      <c r="I22" s="78"/>
      <c r="J22" s="76"/>
      <c r="K22" s="76"/>
      <c r="L22" s="76"/>
      <c r="M22" s="76"/>
      <c r="N22" s="76"/>
      <c r="O22" s="67"/>
      <c r="P22" s="79"/>
      <c r="Q22" s="79"/>
      <c r="R22" s="65"/>
      <c r="S22" s="46">
        <f t="shared" si="3"/>
        <v>0</v>
      </c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46"/>
      <c r="AJ22" s="80" t="s">
        <v>79</v>
      </c>
      <c r="AK22" s="80" t="s">
        <v>80</v>
      </c>
      <c r="AL22" s="80" t="s">
        <v>81</v>
      </c>
      <c r="AM22" s="80" t="s">
        <v>82</v>
      </c>
      <c r="AN22" s="80" t="s">
        <v>83</v>
      </c>
      <c r="AO22" s="80" t="s">
        <v>84</v>
      </c>
      <c r="AP22" s="80" t="s">
        <v>85</v>
      </c>
      <c r="AQ22" s="80" t="s">
        <v>86</v>
      </c>
      <c r="AR22" s="80" t="s">
        <v>87</v>
      </c>
      <c r="AS22" s="80" t="s">
        <v>88</v>
      </c>
      <c r="AT22" s="80" t="s">
        <v>89</v>
      </c>
      <c r="AU22" s="80" t="s">
        <v>90</v>
      </c>
      <c r="AV22" s="80"/>
      <c r="AW22" s="80"/>
      <c r="AX22" s="80"/>
      <c r="AY22" s="46"/>
      <c r="AZ22" s="46"/>
    </row>
    <row r="23">
      <c r="A23" s="54"/>
      <c r="B23" s="18"/>
      <c r="C23" s="18"/>
      <c r="D23" s="76"/>
      <c r="E23" s="55"/>
      <c r="F23" s="55"/>
      <c r="G23" s="55"/>
      <c r="H23" s="55"/>
      <c r="I23" s="55"/>
      <c r="J23" s="76"/>
      <c r="K23" s="76"/>
      <c r="L23" s="76"/>
      <c r="M23" s="76"/>
      <c r="N23" s="55"/>
      <c r="O23" s="67"/>
      <c r="P23" s="79"/>
      <c r="Q23" s="79"/>
      <c r="R23" s="65"/>
      <c r="S23" s="46">
        <f t="shared" si="3"/>
        <v>0</v>
      </c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46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46"/>
      <c r="AZ23" s="46"/>
    </row>
    <row r="24">
      <c r="A24" s="48" t="s">
        <v>91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81"/>
      <c r="P24" s="81"/>
      <c r="Q24" s="81"/>
      <c r="R24" s="81"/>
      <c r="S24" s="46">
        <f t="shared" si="3"/>
        <v>0</v>
      </c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46"/>
      <c r="AJ24" s="81">
        <f>AI25</f>
        <v>60291474754</v>
      </c>
      <c r="AK24" s="81">
        <f>AI26</f>
        <v>10962622831</v>
      </c>
      <c r="AL24" s="81">
        <f>AI27</f>
        <v>9349337023</v>
      </c>
      <c r="AM24" s="81">
        <f>AI28</f>
        <v>4204459365</v>
      </c>
      <c r="AN24" s="81">
        <f>AI29</f>
        <v>1151543388</v>
      </c>
      <c r="AO24" s="81">
        <f>AI30</f>
        <v>11052623519</v>
      </c>
      <c r="AP24" s="81">
        <f>AI31</f>
        <v>2860719964</v>
      </c>
      <c r="AQ24" s="81">
        <f>AI32</f>
        <v>2678353540</v>
      </c>
      <c r="AR24" s="81">
        <f>AI33</f>
        <v>5647182074</v>
      </c>
      <c r="AS24" s="81">
        <f>AI34</f>
        <v>3401518868</v>
      </c>
      <c r="AT24" s="81">
        <f>AI35</f>
        <v>1674283626</v>
      </c>
      <c r="AU24" s="81">
        <f>AI36</f>
        <v>1475176400</v>
      </c>
      <c r="AV24" s="81"/>
      <c r="AW24" s="81"/>
      <c r="AX24" s="81"/>
      <c r="AY24" s="46"/>
      <c r="AZ24" s="46"/>
    </row>
    <row r="25">
      <c r="A25" s="54">
        <v>1.0</v>
      </c>
      <c r="B25" s="18" t="s">
        <v>79</v>
      </c>
      <c r="C25" s="18" t="s">
        <v>92</v>
      </c>
      <c r="D25" s="76">
        <v>26.0</v>
      </c>
      <c r="E25" s="57"/>
      <c r="F25" s="57"/>
      <c r="G25" s="57"/>
      <c r="H25" s="57"/>
      <c r="I25" s="57"/>
      <c r="J25" s="55">
        <v>6.24E8</v>
      </c>
      <c r="K25" s="55"/>
      <c r="L25" s="55">
        <v>1.44456E9</v>
      </c>
      <c r="M25" s="55">
        <v>5.349E10</v>
      </c>
      <c r="N25" s="55">
        <v>4.8141E9</v>
      </c>
      <c r="O25" s="67">
        <v>1.577692E10</v>
      </c>
      <c r="P25" s="62">
        <f t="shared" ref="P25:P37" si="6">ROUND((N25/$N$74*$P$75)/5,0)</f>
        <v>460440408</v>
      </c>
      <c r="Q25" s="62">
        <f t="shared" ref="Q25:Q37" si="7">ROUND((O25/$O$74*$Q$75)/40,0)</f>
        <v>191383874</v>
      </c>
      <c r="R25" s="65">
        <v>650.0</v>
      </c>
      <c r="S25" s="46">
        <f t="shared" si="3"/>
        <v>56210384282</v>
      </c>
      <c r="T25" s="65">
        <f t="shared" ref="T25:AA25" si="4">($D25/$D$79)*T$9</f>
        <v>1282662098</v>
      </c>
      <c r="U25" s="65">
        <f t="shared" si="4"/>
        <v>184532738.9</v>
      </c>
      <c r="V25" s="65">
        <f t="shared" si="4"/>
        <v>385697284.6</v>
      </c>
      <c r="W25" s="65">
        <f t="shared" si="4"/>
        <v>342730549.8</v>
      </c>
      <c r="X25" s="65">
        <f t="shared" si="4"/>
        <v>354308369.5</v>
      </c>
      <c r="Y25" s="65">
        <f t="shared" si="4"/>
        <v>238990106.2</v>
      </c>
      <c r="Z25" s="65">
        <f t="shared" si="4"/>
        <v>176594658.2</v>
      </c>
      <c r="AA25" s="65">
        <f t="shared" si="4"/>
        <v>118494177.2</v>
      </c>
      <c r="AB25" s="65">
        <f t="shared" ref="AB25:AB36" si="9">($R25/$R$79)*AB$9</f>
        <v>428748328.4</v>
      </c>
      <c r="AC25" s="65">
        <f t="shared" ref="AC25:AE25" si="5">($D25/$D$79)*AC$9</f>
        <v>289642698.7</v>
      </c>
      <c r="AD25" s="65">
        <f t="shared" si="5"/>
        <v>256708860.8</v>
      </c>
      <c r="AE25" s="65">
        <f t="shared" si="5"/>
        <v>21980602.08</v>
      </c>
      <c r="AF25" s="65"/>
      <c r="AG25" s="65"/>
      <c r="AH25" s="65"/>
      <c r="AI25" s="46">
        <f t="shared" ref="AI25:AI73" si="11">sum(S25:AH25)</f>
        <v>60291474754</v>
      </c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45"/>
      <c r="AZ25" s="45"/>
    </row>
    <row r="26">
      <c r="A26" s="54">
        <v>2.0</v>
      </c>
      <c r="B26" s="18" t="s">
        <v>80</v>
      </c>
      <c r="C26" s="18" t="s">
        <v>93</v>
      </c>
      <c r="D26" s="76">
        <v>20.0</v>
      </c>
      <c r="E26" s="57"/>
      <c r="F26" s="57"/>
      <c r="G26" s="55">
        <v>3376.0</v>
      </c>
      <c r="H26" s="57"/>
      <c r="I26" s="57"/>
      <c r="J26" s="55">
        <v>4.8E8</v>
      </c>
      <c r="K26" s="55"/>
      <c r="L26" s="55">
        <v>1.1112E9</v>
      </c>
      <c r="M26" s="55">
        <v>4.2E9</v>
      </c>
      <c r="N26" s="55">
        <v>1.898E10</v>
      </c>
      <c r="O26" s="67">
        <v>2.6572E10</v>
      </c>
      <c r="P26" s="62">
        <f t="shared" si="6"/>
        <v>1815325594</v>
      </c>
      <c r="Q26" s="62">
        <f t="shared" si="7"/>
        <v>322334924</v>
      </c>
      <c r="R26" s="65">
        <v>340.0</v>
      </c>
      <c r="S26" s="46">
        <f t="shared" si="3"/>
        <v>7928860518</v>
      </c>
      <c r="T26" s="65">
        <f t="shared" ref="T26:AA26" si="8">($D26/$D$79)*T$9</f>
        <v>986663152.2</v>
      </c>
      <c r="U26" s="65">
        <f t="shared" si="8"/>
        <v>141948260.7</v>
      </c>
      <c r="V26" s="65">
        <f t="shared" si="8"/>
        <v>296690218.9</v>
      </c>
      <c r="W26" s="65">
        <f t="shared" si="8"/>
        <v>263638884.5</v>
      </c>
      <c r="X26" s="65">
        <f t="shared" si="8"/>
        <v>272544899.6</v>
      </c>
      <c r="Y26" s="65">
        <f t="shared" si="8"/>
        <v>183838543.2</v>
      </c>
      <c r="Z26" s="65">
        <f t="shared" si="8"/>
        <v>135842044.8</v>
      </c>
      <c r="AA26" s="65">
        <f t="shared" si="8"/>
        <v>91149367.09</v>
      </c>
      <c r="AB26" s="65">
        <f t="shared" si="9"/>
        <v>224268356.4</v>
      </c>
      <c r="AC26" s="65">
        <f t="shared" ref="AC26:AE26" si="10">($D26/$D$79)*AC$9</f>
        <v>222802075.9</v>
      </c>
      <c r="AD26" s="65">
        <f t="shared" si="10"/>
        <v>197468354.4</v>
      </c>
      <c r="AE26" s="65">
        <f t="shared" si="10"/>
        <v>16908155.44</v>
      </c>
      <c r="AF26" s="65"/>
      <c r="AG26" s="65"/>
      <c r="AH26" s="65"/>
      <c r="AI26" s="46">
        <f t="shared" si="11"/>
        <v>10962622831</v>
      </c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45"/>
      <c r="AZ26" s="45"/>
    </row>
    <row r="27">
      <c r="A27" s="54">
        <v>3.0</v>
      </c>
      <c r="B27" s="18" t="s">
        <v>81</v>
      </c>
      <c r="C27" s="18" t="s">
        <v>94</v>
      </c>
      <c r="D27" s="76">
        <v>15.0</v>
      </c>
      <c r="E27" s="57"/>
      <c r="F27" s="57"/>
      <c r="G27" s="55">
        <v>4320.0</v>
      </c>
      <c r="H27" s="57"/>
      <c r="I27" s="57"/>
      <c r="J27" s="55">
        <v>3.6E8</v>
      </c>
      <c r="K27" s="55"/>
      <c r="L27" s="55">
        <v>8.334E8</v>
      </c>
      <c r="M27" s="55">
        <v>4.1E9</v>
      </c>
      <c r="N27" s="55">
        <v>1.529E10</v>
      </c>
      <c r="O27" s="67">
        <v>1.8348E10</v>
      </c>
      <c r="P27" s="62">
        <f t="shared" si="6"/>
        <v>1462398753</v>
      </c>
      <c r="Q27" s="62">
        <f t="shared" si="7"/>
        <v>222572677</v>
      </c>
      <c r="R27" s="65">
        <v>400.0</v>
      </c>
      <c r="S27" s="46">
        <f t="shared" si="3"/>
        <v>6978371430</v>
      </c>
      <c r="T27" s="65">
        <f t="shared" ref="T27:AA27" si="12">($D27/$D$79)*T$9</f>
        <v>739997364.1</v>
      </c>
      <c r="U27" s="65">
        <f t="shared" si="12"/>
        <v>106461195.5</v>
      </c>
      <c r="V27" s="65">
        <f t="shared" si="12"/>
        <v>222517664.2</v>
      </c>
      <c r="W27" s="65">
        <f t="shared" si="12"/>
        <v>197729163.3</v>
      </c>
      <c r="X27" s="65">
        <f t="shared" si="12"/>
        <v>204408674.7</v>
      </c>
      <c r="Y27" s="65">
        <f t="shared" si="12"/>
        <v>137878907.4</v>
      </c>
      <c r="Z27" s="65">
        <f t="shared" si="12"/>
        <v>101881533.6</v>
      </c>
      <c r="AA27" s="65">
        <f t="shared" si="12"/>
        <v>68362025.32</v>
      </c>
      <c r="AB27" s="65">
        <f t="shared" si="9"/>
        <v>263845125.2</v>
      </c>
      <c r="AC27" s="65">
        <f t="shared" ref="AC27:AE27" si="13">($D27/$D$79)*AC$9</f>
        <v>167101557</v>
      </c>
      <c r="AD27" s="65">
        <f t="shared" si="13"/>
        <v>148101265.8</v>
      </c>
      <c r="AE27" s="65">
        <f t="shared" si="13"/>
        <v>12681116.58</v>
      </c>
      <c r="AF27" s="65"/>
      <c r="AG27" s="65"/>
      <c r="AH27" s="65"/>
      <c r="AI27" s="46">
        <f t="shared" si="11"/>
        <v>9349337023</v>
      </c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45"/>
      <c r="AZ27" s="45"/>
    </row>
    <row r="28">
      <c r="A28" s="54">
        <v>4.0</v>
      </c>
      <c r="B28" s="18" t="s">
        <v>82</v>
      </c>
      <c r="C28" s="18" t="s">
        <v>95</v>
      </c>
      <c r="D28" s="76">
        <v>10.0</v>
      </c>
      <c r="E28" s="57"/>
      <c r="F28" s="57"/>
      <c r="G28" s="55">
        <v>3040.0</v>
      </c>
      <c r="H28" s="57"/>
      <c r="I28" s="57"/>
      <c r="J28" s="55">
        <v>2.4E8</v>
      </c>
      <c r="K28" s="55"/>
      <c r="L28" s="55">
        <v>5.556E8</v>
      </c>
      <c r="M28" s="55">
        <v>1.6E9</v>
      </c>
      <c r="N28" s="55">
        <v>9.6E8</v>
      </c>
      <c r="O28" s="67">
        <v>8.344E9</v>
      </c>
      <c r="P28" s="62">
        <f t="shared" si="6"/>
        <v>91818365</v>
      </c>
      <c r="Q28" s="62">
        <f t="shared" si="7"/>
        <v>101217921</v>
      </c>
      <c r="R28" s="65">
        <v>320.0</v>
      </c>
      <c r="S28" s="46">
        <f t="shared" si="3"/>
        <v>2588636286</v>
      </c>
      <c r="T28" s="65">
        <f t="shared" ref="T28:AA28" si="14">($D28/$D$79)*T$9</f>
        <v>493331576.1</v>
      </c>
      <c r="U28" s="65">
        <f t="shared" si="14"/>
        <v>70974130.33</v>
      </c>
      <c r="V28" s="65">
        <f t="shared" si="14"/>
        <v>148345109.4</v>
      </c>
      <c r="W28" s="65">
        <f t="shared" si="14"/>
        <v>131819442.2</v>
      </c>
      <c r="X28" s="65">
        <f t="shared" si="14"/>
        <v>136272449.8</v>
      </c>
      <c r="Y28" s="65">
        <f t="shared" si="14"/>
        <v>91919271.62</v>
      </c>
      <c r="Z28" s="65">
        <f t="shared" si="14"/>
        <v>67921022.38</v>
      </c>
      <c r="AA28" s="65">
        <f t="shared" si="14"/>
        <v>45574683.54</v>
      </c>
      <c r="AB28" s="65">
        <f t="shared" si="9"/>
        <v>211076100.2</v>
      </c>
      <c r="AC28" s="65">
        <f t="shared" ref="AC28:AE28" si="15">($D28/$D$79)*AC$9</f>
        <v>111401038</v>
      </c>
      <c r="AD28" s="65">
        <f t="shared" si="15"/>
        <v>98734177.22</v>
      </c>
      <c r="AE28" s="65">
        <f t="shared" si="15"/>
        <v>8454077.722</v>
      </c>
      <c r="AF28" s="65"/>
      <c r="AG28" s="65"/>
      <c r="AH28" s="65"/>
      <c r="AI28" s="46">
        <f t="shared" si="11"/>
        <v>4204459365</v>
      </c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46"/>
      <c r="AZ28" s="45"/>
    </row>
    <row r="29">
      <c r="A29" s="54">
        <v>5.0</v>
      </c>
      <c r="B29" s="18" t="s">
        <v>83</v>
      </c>
      <c r="C29" s="18" t="s">
        <v>96</v>
      </c>
      <c r="D29" s="76">
        <v>4.0</v>
      </c>
      <c r="E29" s="57"/>
      <c r="F29" s="57"/>
      <c r="G29" s="55">
        <v>274.40000000000003</v>
      </c>
      <c r="H29" s="57"/>
      <c r="I29" s="57"/>
      <c r="J29" s="55">
        <v>9.6E7</v>
      </c>
      <c r="K29" s="55"/>
      <c r="L29" s="55">
        <v>2.2224E8</v>
      </c>
      <c r="M29" s="55">
        <v>1.12E8</v>
      </c>
      <c r="N29" s="55">
        <v>3.59E8</v>
      </c>
      <c r="O29" s="67">
        <v>1.61E9</v>
      </c>
      <c r="P29" s="62">
        <f t="shared" si="6"/>
        <v>34336243</v>
      </c>
      <c r="Q29" s="62">
        <f t="shared" si="7"/>
        <v>19530304</v>
      </c>
      <c r="R29" s="65">
        <v>160.0</v>
      </c>
      <c r="S29" s="46">
        <f t="shared" si="3"/>
        <v>484106547</v>
      </c>
      <c r="T29" s="65">
        <f t="shared" ref="T29:AA29" si="16">($D29/$D$79)*T$9</f>
        <v>197332630.4</v>
      </c>
      <c r="U29" s="65">
        <f t="shared" si="16"/>
        <v>28389652.13</v>
      </c>
      <c r="V29" s="65">
        <f t="shared" si="16"/>
        <v>59338043.78</v>
      </c>
      <c r="W29" s="65">
        <f t="shared" si="16"/>
        <v>52727776.89</v>
      </c>
      <c r="X29" s="65">
        <f t="shared" si="16"/>
        <v>54508979.93</v>
      </c>
      <c r="Y29" s="65">
        <f t="shared" si="16"/>
        <v>36767708.65</v>
      </c>
      <c r="Z29" s="65">
        <f t="shared" si="16"/>
        <v>27168408.95</v>
      </c>
      <c r="AA29" s="65">
        <f t="shared" si="16"/>
        <v>18229873.42</v>
      </c>
      <c r="AB29" s="65">
        <f t="shared" si="9"/>
        <v>105538050.1</v>
      </c>
      <c r="AC29" s="65">
        <f t="shared" ref="AC29:AE29" si="17">($D29/$D$79)*AC$9</f>
        <v>44560415.19</v>
      </c>
      <c r="AD29" s="65">
        <f t="shared" si="17"/>
        <v>39493670.89</v>
      </c>
      <c r="AE29" s="65">
        <f t="shared" si="17"/>
        <v>3381631.089</v>
      </c>
      <c r="AF29" s="65"/>
      <c r="AG29" s="65"/>
      <c r="AH29" s="65"/>
      <c r="AI29" s="46">
        <f t="shared" si="11"/>
        <v>1151543388</v>
      </c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45"/>
      <c r="AZ29" s="46"/>
    </row>
    <row r="30">
      <c r="A30" s="54">
        <v>6.0</v>
      </c>
      <c r="B30" s="18" t="s">
        <v>84</v>
      </c>
      <c r="C30" s="18" t="s">
        <v>97</v>
      </c>
      <c r="D30" s="76">
        <v>15.0</v>
      </c>
      <c r="E30" s="57"/>
      <c r="F30" s="57"/>
      <c r="G30" s="55">
        <v>2240.0</v>
      </c>
      <c r="H30" s="57"/>
      <c r="I30" s="57"/>
      <c r="J30" s="55">
        <v>3.6E8</v>
      </c>
      <c r="K30" s="55">
        <v>6.06E8</v>
      </c>
      <c r="L30" s="55">
        <v>8.334E8</v>
      </c>
      <c r="M30" s="55">
        <v>6.1E9</v>
      </c>
      <c r="N30" s="55">
        <v>6.404999999999999E9</v>
      </c>
      <c r="O30" s="67">
        <v>2.2686E10</v>
      </c>
      <c r="P30" s="62">
        <f t="shared" si="6"/>
        <v>612600655</v>
      </c>
      <c r="Q30" s="62">
        <f t="shared" si="7"/>
        <v>275195321</v>
      </c>
      <c r="R30" s="65">
        <v>240.0</v>
      </c>
      <c r="S30" s="46">
        <f t="shared" si="3"/>
        <v>8787195976</v>
      </c>
      <c r="T30" s="65">
        <f t="shared" ref="T30:AA30" si="18">($D30/$D$79)*T$9</f>
        <v>739997364.1</v>
      </c>
      <c r="U30" s="65">
        <f t="shared" si="18"/>
        <v>106461195.5</v>
      </c>
      <c r="V30" s="65">
        <f t="shared" si="18"/>
        <v>222517664.2</v>
      </c>
      <c r="W30" s="65">
        <f t="shared" si="18"/>
        <v>197729163.3</v>
      </c>
      <c r="X30" s="65">
        <f t="shared" si="18"/>
        <v>204408674.7</v>
      </c>
      <c r="Y30" s="65">
        <f t="shared" si="18"/>
        <v>137878907.4</v>
      </c>
      <c r="Z30" s="65">
        <f t="shared" si="18"/>
        <v>101881533.6</v>
      </c>
      <c r="AA30" s="65">
        <f t="shared" si="18"/>
        <v>68362025.32</v>
      </c>
      <c r="AB30" s="65">
        <f t="shared" si="9"/>
        <v>158307075.1</v>
      </c>
      <c r="AC30" s="65">
        <f t="shared" ref="AC30:AE30" si="19">($D30/$D$79)*AC$9</f>
        <v>167101557</v>
      </c>
      <c r="AD30" s="65">
        <f t="shared" si="19"/>
        <v>148101265.8</v>
      </c>
      <c r="AE30" s="65">
        <f t="shared" si="19"/>
        <v>12681116.58</v>
      </c>
      <c r="AF30" s="65"/>
      <c r="AG30" s="65"/>
      <c r="AH30" s="65"/>
      <c r="AI30" s="46">
        <f t="shared" si="11"/>
        <v>11052623519</v>
      </c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45"/>
      <c r="AZ30" s="46"/>
    </row>
    <row r="31">
      <c r="A31" s="54">
        <v>7.0</v>
      </c>
      <c r="B31" s="18" t="s">
        <v>85</v>
      </c>
      <c r="C31" s="68" t="s">
        <v>98</v>
      </c>
      <c r="D31" s="55">
        <v>10.0</v>
      </c>
      <c r="E31" s="55"/>
      <c r="F31" s="57"/>
      <c r="G31" s="57"/>
      <c r="H31" s="57"/>
      <c r="I31" s="57"/>
      <c r="J31" s="55">
        <v>7.62E8</v>
      </c>
      <c r="K31" s="55"/>
      <c r="L31" s="55"/>
      <c r="M31" s="55">
        <v>3.51E8</v>
      </c>
      <c r="N31" s="55">
        <v>1.3689E9</v>
      </c>
      <c r="O31" s="67">
        <v>4.43E9</v>
      </c>
      <c r="P31" s="62">
        <f t="shared" si="6"/>
        <v>130927250</v>
      </c>
      <c r="Q31" s="62">
        <f t="shared" si="7"/>
        <v>53738661</v>
      </c>
      <c r="R31" s="65">
        <v>240.0</v>
      </c>
      <c r="S31" s="46">
        <f t="shared" si="3"/>
        <v>1297665911</v>
      </c>
      <c r="T31" s="65">
        <f t="shared" ref="T31:AA31" si="20">($D31/$D$79)*T$9</f>
        <v>493331576.1</v>
      </c>
      <c r="U31" s="65">
        <f t="shared" si="20"/>
        <v>70974130.33</v>
      </c>
      <c r="V31" s="65">
        <f t="shared" si="20"/>
        <v>148345109.4</v>
      </c>
      <c r="W31" s="65">
        <f t="shared" si="20"/>
        <v>131819442.2</v>
      </c>
      <c r="X31" s="65">
        <f t="shared" si="20"/>
        <v>136272449.8</v>
      </c>
      <c r="Y31" s="65">
        <f t="shared" si="20"/>
        <v>91919271.62</v>
      </c>
      <c r="Z31" s="65">
        <f t="shared" si="20"/>
        <v>67921022.38</v>
      </c>
      <c r="AA31" s="65">
        <f t="shared" si="20"/>
        <v>45574683.54</v>
      </c>
      <c r="AB31" s="65">
        <f t="shared" si="9"/>
        <v>158307075.1</v>
      </c>
      <c r="AC31" s="65">
        <f t="shared" ref="AC31:AE31" si="21">($D31/$D$79)*AC$9</f>
        <v>111401038</v>
      </c>
      <c r="AD31" s="65">
        <f t="shared" si="21"/>
        <v>98734177.22</v>
      </c>
      <c r="AE31" s="65">
        <f t="shared" si="21"/>
        <v>8454077.722</v>
      </c>
      <c r="AF31" s="65"/>
      <c r="AG31" s="65"/>
      <c r="AH31" s="65"/>
      <c r="AI31" s="46">
        <f t="shared" si="11"/>
        <v>2860719964</v>
      </c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45"/>
      <c r="AZ31" s="46"/>
    </row>
    <row r="32">
      <c r="A32" s="54">
        <v>8.0</v>
      </c>
      <c r="B32" s="18" t="s">
        <v>86</v>
      </c>
      <c r="C32" s="68" t="s">
        <v>98</v>
      </c>
      <c r="D32" s="55">
        <v>10.0</v>
      </c>
      <c r="E32" s="55"/>
      <c r="F32" s="57"/>
      <c r="G32" s="57"/>
      <c r="H32" s="57"/>
      <c r="I32" s="57"/>
      <c r="J32" s="55">
        <v>7.62E8</v>
      </c>
      <c r="K32" s="55"/>
      <c r="L32" s="55"/>
      <c r="M32" s="55">
        <v>2.2E8</v>
      </c>
      <c r="N32" s="55">
        <v>8.58E8</v>
      </c>
      <c r="O32" s="67">
        <v>3.68E9</v>
      </c>
      <c r="P32" s="62">
        <f t="shared" si="6"/>
        <v>82062664</v>
      </c>
      <c r="Q32" s="62">
        <f t="shared" si="7"/>
        <v>44640694</v>
      </c>
      <c r="R32" s="65">
        <v>250.0</v>
      </c>
      <c r="S32" s="46">
        <f t="shared" si="3"/>
        <v>1108703358</v>
      </c>
      <c r="T32" s="65">
        <f t="shared" ref="T32:AA32" si="22">($D32/$D$79)*T$9</f>
        <v>493331576.1</v>
      </c>
      <c r="U32" s="65">
        <f t="shared" si="22"/>
        <v>70974130.33</v>
      </c>
      <c r="V32" s="65">
        <f t="shared" si="22"/>
        <v>148345109.4</v>
      </c>
      <c r="W32" s="65">
        <f t="shared" si="22"/>
        <v>131819442.2</v>
      </c>
      <c r="X32" s="65">
        <f t="shared" si="22"/>
        <v>136272449.8</v>
      </c>
      <c r="Y32" s="65">
        <f t="shared" si="22"/>
        <v>91919271.62</v>
      </c>
      <c r="Z32" s="65">
        <f t="shared" si="22"/>
        <v>67921022.38</v>
      </c>
      <c r="AA32" s="65">
        <f t="shared" si="22"/>
        <v>45574683.54</v>
      </c>
      <c r="AB32" s="65">
        <f t="shared" si="9"/>
        <v>164903203.2</v>
      </c>
      <c r="AC32" s="65">
        <f t="shared" ref="AC32:AE32" si="23">($D32/$D$79)*AC$9</f>
        <v>111401038</v>
      </c>
      <c r="AD32" s="65">
        <f t="shared" si="23"/>
        <v>98734177.22</v>
      </c>
      <c r="AE32" s="65">
        <f t="shared" si="23"/>
        <v>8454077.722</v>
      </c>
      <c r="AF32" s="65"/>
      <c r="AG32" s="65"/>
      <c r="AH32" s="65"/>
      <c r="AI32" s="46">
        <f t="shared" si="11"/>
        <v>2678353540</v>
      </c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45"/>
      <c r="AZ32" s="46"/>
    </row>
    <row r="33">
      <c r="A33" s="54">
        <v>9.0</v>
      </c>
      <c r="B33" s="18" t="s">
        <v>87</v>
      </c>
      <c r="C33" s="68" t="s">
        <v>99</v>
      </c>
      <c r="D33" s="55">
        <v>15.0</v>
      </c>
      <c r="E33" s="57"/>
      <c r="F33" s="57"/>
      <c r="G33" s="57"/>
      <c r="H33" s="57"/>
      <c r="I33" s="57"/>
      <c r="J33" s="55">
        <v>1.143E9</v>
      </c>
      <c r="K33" s="55"/>
      <c r="L33" s="55"/>
      <c r="M33" s="55">
        <v>1.6E9</v>
      </c>
      <c r="N33" s="55">
        <v>6.24E9</v>
      </c>
      <c r="O33" s="67">
        <v>5.632E9</v>
      </c>
      <c r="P33" s="62">
        <f t="shared" si="6"/>
        <v>596819373</v>
      </c>
      <c r="Q33" s="62">
        <f t="shared" si="7"/>
        <v>68319671</v>
      </c>
      <c r="R33" s="65">
        <v>200.0</v>
      </c>
      <c r="S33" s="46">
        <f t="shared" si="3"/>
        <v>3408139044</v>
      </c>
      <c r="T33" s="65">
        <f t="shared" ref="T33:AA33" si="24">($D33/$D$79)*T$9</f>
        <v>739997364.1</v>
      </c>
      <c r="U33" s="65">
        <f t="shared" si="24"/>
        <v>106461195.5</v>
      </c>
      <c r="V33" s="65">
        <f t="shared" si="24"/>
        <v>222517664.2</v>
      </c>
      <c r="W33" s="65">
        <f t="shared" si="24"/>
        <v>197729163.3</v>
      </c>
      <c r="X33" s="65">
        <f t="shared" si="24"/>
        <v>204408674.7</v>
      </c>
      <c r="Y33" s="65">
        <f t="shared" si="24"/>
        <v>137878907.4</v>
      </c>
      <c r="Z33" s="65">
        <f t="shared" si="24"/>
        <v>101881533.6</v>
      </c>
      <c r="AA33" s="65">
        <f t="shared" si="24"/>
        <v>68362025.32</v>
      </c>
      <c r="AB33" s="65">
        <f t="shared" si="9"/>
        <v>131922562.6</v>
      </c>
      <c r="AC33" s="65">
        <f t="shared" ref="AC33:AE33" si="25">($D33/$D$79)*AC$9</f>
        <v>167101557</v>
      </c>
      <c r="AD33" s="65">
        <f t="shared" si="25"/>
        <v>148101265.8</v>
      </c>
      <c r="AE33" s="65">
        <f t="shared" si="25"/>
        <v>12681116.58</v>
      </c>
      <c r="AF33" s="65"/>
      <c r="AG33" s="65"/>
      <c r="AH33" s="65"/>
      <c r="AI33" s="46">
        <f t="shared" si="11"/>
        <v>5647182074</v>
      </c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45"/>
      <c r="AZ33" s="46"/>
    </row>
    <row r="34">
      <c r="A34" s="54">
        <v>10.0</v>
      </c>
      <c r="B34" s="18" t="s">
        <v>88</v>
      </c>
      <c r="C34" s="18" t="s">
        <v>74</v>
      </c>
      <c r="D34" s="76">
        <v>2.0</v>
      </c>
      <c r="E34" s="57"/>
      <c r="F34" s="57"/>
      <c r="G34" s="57"/>
      <c r="H34" s="57"/>
      <c r="I34" s="57"/>
      <c r="J34" s="55">
        <v>4.8E7</v>
      </c>
      <c r="K34" s="55"/>
      <c r="L34" s="55">
        <v>1.1112E8</v>
      </c>
      <c r="M34" s="55">
        <v>2.65000038E9</v>
      </c>
      <c r="N34" s="55">
        <v>3.19E9</v>
      </c>
      <c r="O34" s="67">
        <v>5.23E8</v>
      </c>
      <c r="P34" s="62">
        <f t="shared" si="6"/>
        <v>305104776</v>
      </c>
      <c r="Q34" s="62">
        <f t="shared" si="7"/>
        <v>6344316</v>
      </c>
      <c r="R34" s="65"/>
      <c r="S34" s="46">
        <f t="shared" si="3"/>
        <v>3120569472</v>
      </c>
      <c r="T34" s="65">
        <f t="shared" ref="T34:AA34" si="26">($D34/$D$79)*T$9</f>
        <v>98666315.22</v>
      </c>
      <c r="U34" s="65">
        <f t="shared" si="26"/>
        <v>14194826.07</v>
      </c>
      <c r="V34" s="65">
        <f t="shared" si="26"/>
        <v>29669021.89</v>
      </c>
      <c r="W34" s="65">
        <f t="shared" si="26"/>
        <v>26363888.45</v>
      </c>
      <c r="X34" s="65">
        <f t="shared" si="26"/>
        <v>27254489.96</v>
      </c>
      <c r="Y34" s="65">
        <f t="shared" si="26"/>
        <v>18383854.32</v>
      </c>
      <c r="Z34" s="65">
        <f t="shared" si="26"/>
        <v>13584204.48</v>
      </c>
      <c r="AA34" s="65">
        <f t="shared" si="26"/>
        <v>9114936.709</v>
      </c>
      <c r="AB34" s="65">
        <f t="shared" si="9"/>
        <v>0</v>
      </c>
      <c r="AC34" s="65">
        <f t="shared" ref="AC34:AE34" si="27">($D34/$D$79)*AC$9</f>
        <v>22280207.59</v>
      </c>
      <c r="AD34" s="65">
        <f t="shared" si="27"/>
        <v>19746835.44</v>
      </c>
      <c r="AE34" s="65">
        <f t="shared" si="27"/>
        <v>1690815.544</v>
      </c>
      <c r="AF34" s="65"/>
      <c r="AG34" s="65"/>
      <c r="AH34" s="65"/>
      <c r="AI34" s="46">
        <f t="shared" si="11"/>
        <v>3401518868</v>
      </c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45"/>
      <c r="AZ34" s="46"/>
    </row>
    <row r="35">
      <c r="A35" s="54">
        <v>11.0</v>
      </c>
      <c r="B35" s="18" t="s">
        <v>89</v>
      </c>
      <c r="C35" s="18" t="s">
        <v>100</v>
      </c>
      <c r="D35" s="76">
        <v>2.0</v>
      </c>
      <c r="E35" s="57"/>
      <c r="F35" s="57"/>
      <c r="G35" s="57"/>
      <c r="H35" s="57"/>
      <c r="I35" s="57"/>
      <c r="J35" s="55">
        <v>4.8E7</v>
      </c>
      <c r="K35" s="55"/>
      <c r="L35" s="55">
        <v>1.1112E8</v>
      </c>
      <c r="M35" s="55">
        <v>6.945E8</v>
      </c>
      <c r="N35" s="55">
        <v>4.792049999999999E9</v>
      </c>
      <c r="O35" s="67">
        <v>6.708869999999998E9</v>
      </c>
      <c r="P35" s="62">
        <f t="shared" si="6"/>
        <v>458331455</v>
      </c>
      <c r="Q35" s="62">
        <f t="shared" si="7"/>
        <v>81382775</v>
      </c>
      <c r="R35" s="65"/>
      <c r="S35" s="46">
        <f t="shared" si="3"/>
        <v>1393334230</v>
      </c>
      <c r="T35" s="65">
        <f t="shared" ref="T35:AA35" si="28">($D35/$D$79)*T$9</f>
        <v>98666315.22</v>
      </c>
      <c r="U35" s="65">
        <f t="shared" si="28"/>
        <v>14194826.07</v>
      </c>
      <c r="V35" s="65">
        <f t="shared" si="28"/>
        <v>29669021.89</v>
      </c>
      <c r="W35" s="65">
        <f t="shared" si="28"/>
        <v>26363888.45</v>
      </c>
      <c r="X35" s="65">
        <f t="shared" si="28"/>
        <v>27254489.96</v>
      </c>
      <c r="Y35" s="65">
        <f t="shared" si="28"/>
        <v>18383854.32</v>
      </c>
      <c r="Z35" s="65">
        <f t="shared" si="28"/>
        <v>13584204.48</v>
      </c>
      <c r="AA35" s="65">
        <f t="shared" si="28"/>
        <v>9114936.709</v>
      </c>
      <c r="AB35" s="65">
        <f t="shared" si="9"/>
        <v>0</v>
      </c>
      <c r="AC35" s="65">
        <f t="shared" ref="AC35:AE35" si="29">($D35/$D$79)*AC$9</f>
        <v>22280207.59</v>
      </c>
      <c r="AD35" s="65">
        <f t="shared" si="29"/>
        <v>19746835.44</v>
      </c>
      <c r="AE35" s="65">
        <f t="shared" si="29"/>
        <v>1690815.544</v>
      </c>
      <c r="AF35" s="65"/>
      <c r="AG35" s="65"/>
      <c r="AH35" s="65"/>
      <c r="AI35" s="46">
        <f t="shared" si="11"/>
        <v>1674283626</v>
      </c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45"/>
      <c r="AZ35" s="46"/>
    </row>
    <row r="36">
      <c r="A36" s="54">
        <v>12.0</v>
      </c>
      <c r="B36" s="18" t="s">
        <v>90</v>
      </c>
      <c r="C36" s="18" t="s">
        <v>101</v>
      </c>
      <c r="D36" s="76">
        <v>2.0</v>
      </c>
      <c r="E36" s="57"/>
      <c r="F36" s="57"/>
      <c r="G36" s="57"/>
      <c r="H36" s="57"/>
      <c r="I36" s="57"/>
      <c r="J36" s="55">
        <v>4.8E7</v>
      </c>
      <c r="K36" s="55"/>
      <c r="L36" s="55">
        <v>1.1112E8</v>
      </c>
      <c r="M36" s="55">
        <v>5.88E8</v>
      </c>
      <c r="N36" s="55">
        <v>4.0572E9</v>
      </c>
      <c r="O36" s="67">
        <v>4.86864E9</v>
      </c>
      <c r="P36" s="62">
        <f t="shared" si="6"/>
        <v>388047366</v>
      </c>
      <c r="Q36" s="62">
        <f t="shared" si="7"/>
        <v>59059638</v>
      </c>
      <c r="R36" s="65"/>
      <c r="S36" s="46">
        <f t="shared" si="3"/>
        <v>1194227004</v>
      </c>
      <c r="T36" s="65">
        <f t="shared" ref="T36:AA36" si="30">($D36/$D$79)*T$9</f>
        <v>98666315.22</v>
      </c>
      <c r="U36" s="65">
        <f t="shared" si="30"/>
        <v>14194826.07</v>
      </c>
      <c r="V36" s="65">
        <f t="shared" si="30"/>
        <v>29669021.89</v>
      </c>
      <c r="W36" s="65">
        <f t="shared" si="30"/>
        <v>26363888.45</v>
      </c>
      <c r="X36" s="65">
        <f t="shared" si="30"/>
        <v>27254489.96</v>
      </c>
      <c r="Y36" s="65">
        <f t="shared" si="30"/>
        <v>18383854.32</v>
      </c>
      <c r="Z36" s="65">
        <f t="shared" si="30"/>
        <v>13584204.48</v>
      </c>
      <c r="AA36" s="65">
        <f t="shared" si="30"/>
        <v>9114936.709</v>
      </c>
      <c r="AB36" s="65">
        <f t="shared" si="9"/>
        <v>0</v>
      </c>
      <c r="AC36" s="65">
        <f t="shared" ref="AC36:AE36" si="31">($D36/$D$79)*AC$9</f>
        <v>22280207.59</v>
      </c>
      <c r="AD36" s="65">
        <f t="shared" si="31"/>
        <v>19746835.44</v>
      </c>
      <c r="AE36" s="65">
        <f t="shared" si="31"/>
        <v>1690815.544</v>
      </c>
      <c r="AF36" s="65"/>
      <c r="AG36" s="65"/>
      <c r="AH36" s="65"/>
      <c r="AI36" s="46">
        <f t="shared" si="11"/>
        <v>1475176400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45"/>
      <c r="AZ36" s="46"/>
    </row>
    <row r="37">
      <c r="A37" s="54"/>
      <c r="B37" s="18" t="s">
        <v>78</v>
      </c>
      <c r="C37" s="18"/>
      <c r="D37" s="76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67"/>
      <c r="P37" s="62">
        <f t="shared" si="6"/>
        <v>0</v>
      </c>
      <c r="Q37" s="62">
        <f t="shared" si="7"/>
        <v>0</v>
      </c>
      <c r="R37" s="65"/>
      <c r="S37" s="46">
        <f t="shared" si="3"/>
        <v>0</v>
      </c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46">
        <f t="shared" si="11"/>
        <v>0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45"/>
      <c r="AZ37" s="46"/>
    </row>
    <row r="38">
      <c r="A38" s="54"/>
      <c r="B38" s="18"/>
      <c r="C38" s="18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67"/>
      <c r="P38" s="79"/>
      <c r="Q38" s="79"/>
      <c r="R38" s="65"/>
      <c r="S38" s="46">
        <f t="shared" si="3"/>
        <v>0</v>
      </c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46">
        <f t="shared" si="11"/>
        <v>0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45"/>
      <c r="AZ38" s="46"/>
    </row>
    <row r="39">
      <c r="A39" s="48" t="s">
        <v>102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81"/>
      <c r="P39" s="81"/>
      <c r="Q39" s="81"/>
      <c r="R39" s="81"/>
      <c r="S39" s="46">
        <f t="shared" si="3"/>
        <v>0</v>
      </c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46">
        <f t="shared" si="11"/>
        <v>0</v>
      </c>
      <c r="AJ39" s="81"/>
      <c r="AK39" s="81"/>
      <c r="AL39" s="81"/>
      <c r="AM39" s="81"/>
      <c r="AN39" s="81"/>
      <c r="AO39" s="81"/>
      <c r="AP39" s="81"/>
      <c r="AQ39" s="81"/>
      <c r="AR39" s="81"/>
      <c r="AS39" s="81"/>
      <c r="AT39" s="81"/>
      <c r="AU39" s="81"/>
      <c r="AV39" s="81"/>
      <c r="AW39" s="81"/>
      <c r="AX39" s="81"/>
      <c r="AY39" s="45"/>
      <c r="AZ39" s="46"/>
    </row>
    <row r="40">
      <c r="A40" s="85"/>
      <c r="B40" s="86" t="s">
        <v>103</v>
      </c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8"/>
      <c r="P40" s="88"/>
      <c r="Q40" s="88"/>
      <c r="R40" s="88"/>
      <c r="S40" s="46">
        <f t="shared" si="3"/>
        <v>0</v>
      </c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  <c r="AI40" s="46">
        <f t="shared" si="11"/>
        <v>0</v>
      </c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45"/>
      <c r="AZ40" s="46"/>
    </row>
    <row r="41">
      <c r="A41" s="89">
        <v>1.0</v>
      </c>
      <c r="B41" s="18" t="s">
        <v>104</v>
      </c>
      <c r="C41" s="18" t="s">
        <v>105</v>
      </c>
      <c r="D41" s="76">
        <v>50.0</v>
      </c>
      <c r="E41" s="55">
        <v>49000.0</v>
      </c>
      <c r="F41" s="55">
        <v>9442.0</v>
      </c>
      <c r="G41" s="57"/>
      <c r="H41" s="90">
        <f t="shared" ref="H41:H45" si="34">E41/F41</f>
        <v>5.189578479</v>
      </c>
      <c r="I41" s="55">
        <v>140.0</v>
      </c>
      <c r="J41" s="55">
        <v>1.2E9</v>
      </c>
      <c r="K41" s="57"/>
      <c r="L41" s="55">
        <v>2.01E9</v>
      </c>
      <c r="M41" s="55">
        <v>1.616E9</v>
      </c>
      <c r="N41" s="55">
        <v>8.7E9</v>
      </c>
      <c r="O41" s="67">
        <v>2.92001E10</v>
      </c>
      <c r="P41" s="62">
        <f t="shared" ref="P41:P45" si="35">ROUND((N41/$N$74*$P$75)/5,0)</f>
        <v>832103934</v>
      </c>
      <c r="Q41" s="62">
        <f t="shared" ref="Q41:Q45" si="36">ROUND((O41/$O$74*$Q$75)/40,0)</f>
        <v>354215415</v>
      </c>
      <c r="R41" s="65">
        <v>2880.0</v>
      </c>
      <c r="S41" s="46">
        <f t="shared" si="3"/>
        <v>6012319349</v>
      </c>
      <c r="T41" s="65">
        <f t="shared" ref="T41:AA41" si="32">($D41/$D$79)*T$9</f>
        <v>2466657880</v>
      </c>
      <c r="U41" s="65">
        <f t="shared" si="32"/>
        <v>354870651.6</v>
      </c>
      <c r="V41" s="65">
        <f t="shared" si="32"/>
        <v>741725547.2</v>
      </c>
      <c r="W41" s="65">
        <f t="shared" si="32"/>
        <v>659097211.1</v>
      </c>
      <c r="X41" s="65">
        <f t="shared" si="32"/>
        <v>681362249.1</v>
      </c>
      <c r="Y41" s="65">
        <f t="shared" si="32"/>
        <v>459596358.1</v>
      </c>
      <c r="Z41" s="65">
        <f t="shared" si="32"/>
        <v>339605111.9</v>
      </c>
      <c r="AA41" s="65">
        <f t="shared" si="32"/>
        <v>227873417.7</v>
      </c>
      <c r="AB41" s="65">
        <f t="shared" ref="AB41:AB45" si="38">($R41/$R$79)*AB$9</f>
        <v>1899684901</v>
      </c>
      <c r="AC41" s="65">
        <f t="shared" ref="AC41:AE41" si="33">($D41/$D$79)*AC$9</f>
        <v>557005189.9</v>
      </c>
      <c r="AD41" s="65">
        <f t="shared" si="33"/>
        <v>493670886.1</v>
      </c>
      <c r="AE41" s="65">
        <f t="shared" si="33"/>
        <v>42270388.61</v>
      </c>
      <c r="AF41" s="65"/>
      <c r="AG41" s="65"/>
      <c r="AH41" s="65"/>
      <c r="AI41" s="46">
        <f t="shared" si="11"/>
        <v>14935739142</v>
      </c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45"/>
      <c r="AZ41" s="46"/>
    </row>
    <row r="42">
      <c r="A42" s="89">
        <v>2.0</v>
      </c>
      <c r="B42" s="18" t="s">
        <v>106</v>
      </c>
      <c r="C42" s="18" t="s">
        <v>105</v>
      </c>
      <c r="D42" s="76">
        <v>15.0</v>
      </c>
      <c r="E42" s="55">
        <v>14000.0</v>
      </c>
      <c r="F42" s="55">
        <v>2940.0</v>
      </c>
      <c r="G42" s="57"/>
      <c r="H42" s="90">
        <f t="shared" si="34"/>
        <v>4.761904762</v>
      </c>
      <c r="I42" s="55">
        <v>50.0</v>
      </c>
      <c r="J42" s="55">
        <v>3.6E8</v>
      </c>
      <c r="K42" s="57"/>
      <c r="L42" s="55">
        <v>7.794E8</v>
      </c>
      <c r="M42" s="91">
        <v>1.14E9</v>
      </c>
      <c r="N42" s="55">
        <v>3.5568E9</v>
      </c>
      <c r="O42" s="67">
        <v>1.098E10</v>
      </c>
      <c r="P42" s="62">
        <f t="shared" si="35"/>
        <v>340187043</v>
      </c>
      <c r="Q42" s="62">
        <f t="shared" si="36"/>
        <v>133194244</v>
      </c>
      <c r="R42" s="65">
        <v>1200.0</v>
      </c>
      <c r="S42" s="46">
        <f t="shared" si="3"/>
        <v>2752781287</v>
      </c>
      <c r="T42" s="65">
        <f t="shared" ref="T42:AA42" si="37">($D42/$D$79)*T$9</f>
        <v>739997364.1</v>
      </c>
      <c r="U42" s="65">
        <f t="shared" si="37"/>
        <v>106461195.5</v>
      </c>
      <c r="V42" s="65">
        <f t="shared" si="37"/>
        <v>222517664.2</v>
      </c>
      <c r="W42" s="65">
        <f t="shared" si="37"/>
        <v>197729163.3</v>
      </c>
      <c r="X42" s="65">
        <f t="shared" si="37"/>
        <v>204408674.7</v>
      </c>
      <c r="Y42" s="65">
        <f t="shared" si="37"/>
        <v>137878907.4</v>
      </c>
      <c r="Z42" s="65">
        <f t="shared" si="37"/>
        <v>101881533.6</v>
      </c>
      <c r="AA42" s="65">
        <f t="shared" si="37"/>
        <v>68362025.32</v>
      </c>
      <c r="AB42" s="65">
        <f t="shared" si="38"/>
        <v>791535375.6</v>
      </c>
      <c r="AC42" s="65">
        <f t="shared" ref="AC42:AE42" si="39">($D42/$D$79)*AC$9</f>
        <v>167101557</v>
      </c>
      <c r="AD42" s="65">
        <f t="shared" si="39"/>
        <v>148101265.8</v>
      </c>
      <c r="AE42" s="65">
        <f t="shared" si="39"/>
        <v>12681116.58</v>
      </c>
      <c r="AF42" s="65"/>
      <c r="AG42" s="65"/>
      <c r="AH42" s="65"/>
      <c r="AI42" s="46">
        <f t="shared" si="11"/>
        <v>5651437130</v>
      </c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45"/>
      <c r="AZ42" s="46"/>
    </row>
    <row r="43">
      <c r="A43" s="89">
        <v>3.0</v>
      </c>
      <c r="B43" s="18" t="s">
        <v>107</v>
      </c>
      <c r="C43" s="18" t="s">
        <v>105</v>
      </c>
      <c r="D43" s="76">
        <v>20.0</v>
      </c>
      <c r="E43" s="55">
        <v>20000.0</v>
      </c>
      <c r="F43" s="55">
        <v>3748.0</v>
      </c>
      <c r="G43" s="57"/>
      <c r="H43" s="90">
        <f t="shared" si="34"/>
        <v>5.336179296</v>
      </c>
      <c r="I43" s="55">
        <v>70.0</v>
      </c>
      <c r="J43" s="55">
        <v>4.8E8</v>
      </c>
      <c r="K43" s="57"/>
      <c r="L43" s="55">
        <v>1.3512E9</v>
      </c>
      <c r="M43" s="91">
        <v>2.92E9</v>
      </c>
      <c r="N43" s="55">
        <v>6.084E9</v>
      </c>
      <c r="O43" s="67">
        <v>1.7301E10</v>
      </c>
      <c r="P43" s="62">
        <f t="shared" si="35"/>
        <v>581898889</v>
      </c>
      <c r="Q43" s="62">
        <f t="shared" si="36"/>
        <v>209871915</v>
      </c>
      <c r="R43" s="65">
        <v>1600.0</v>
      </c>
      <c r="S43" s="46">
        <f t="shared" si="3"/>
        <v>5542970804</v>
      </c>
      <c r="T43" s="65">
        <f t="shared" ref="T43:AA43" si="40">($D43/$D$79)*T$9</f>
        <v>986663152.2</v>
      </c>
      <c r="U43" s="65">
        <f t="shared" si="40"/>
        <v>141948260.7</v>
      </c>
      <c r="V43" s="65">
        <f t="shared" si="40"/>
        <v>296690218.9</v>
      </c>
      <c r="W43" s="65">
        <f t="shared" si="40"/>
        <v>263638884.5</v>
      </c>
      <c r="X43" s="65">
        <f t="shared" si="40"/>
        <v>272544899.6</v>
      </c>
      <c r="Y43" s="65">
        <f t="shared" si="40"/>
        <v>183838543.2</v>
      </c>
      <c r="Z43" s="65">
        <f t="shared" si="40"/>
        <v>135842044.8</v>
      </c>
      <c r="AA43" s="65">
        <f t="shared" si="40"/>
        <v>91149367.09</v>
      </c>
      <c r="AB43" s="65">
        <f t="shared" si="38"/>
        <v>1055380501</v>
      </c>
      <c r="AC43" s="65">
        <f t="shared" ref="AC43:AE43" si="41">($D43/$D$79)*AC$9</f>
        <v>222802075.9</v>
      </c>
      <c r="AD43" s="65">
        <f t="shared" si="41"/>
        <v>197468354.4</v>
      </c>
      <c r="AE43" s="65">
        <f t="shared" si="41"/>
        <v>16908155.44</v>
      </c>
      <c r="AF43" s="65"/>
      <c r="AG43" s="65"/>
      <c r="AH43" s="65"/>
      <c r="AI43" s="46">
        <f t="shared" si="11"/>
        <v>9407845262</v>
      </c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45"/>
      <c r="AZ43" s="46"/>
    </row>
    <row r="44">
      <c r="A44" s="89">
        <v>4.0</v>
      </c>
      <c r="B44" s="68" t="s">
        <v>108</v>
      </c>
      <c r="C44" s="18" t="s">
        <v>105</v>
      </c>
      <c r="D44" s="76">
        <v>25.0</v>
      </c>
      <c r="E44" s="55">
        <v>15000.0</v>
      </c>
      <c r="F44" s="55">
        <v>3502.0</v>
      </c>
      <c r="G44" s="57">
        <v>0.0</v>
      </c>
      <c r="H44" s="90">
        <f t="shared" si="34"/>
        <v>4.283266705</v>
      </c>
      <c r="I44" s="55">
        <v>60.0</v>
      </c>
      <c r="J44" s="55">
        <v>6.0E8</v>
      </c>
      <c r="K44" s="57">
        <v>0.0</v>
      </c>
      <c r="L44" s="55">
        <v>1.689E9</v>
      </c>
      <c r="M44" s="91">
        <v>7.58E9</v>
      </c>
      <c r="N44" s="55">
        <v>1.29168E10</v>
      </c>
      <c r="O44" s="67">
        <v>6.6792E10</v>
      </c>
      <c r="P44" s="62">
        <f t="shared" si="35"/>
        <v>1235416103</v>
      </c>
      <c r="Q44" s="62">
        <f t="shared" si="36"/>
        <v>810228595</v>
      </c>
      <c r="R44" s="65">
        <v>1728.0</v>
      </c>
      <c r="S44" s="46">
        <f t="shared" si="3"/>
        <v>11914644698</v>
      </c>
      <c r="T44" s="65">
        <f t="shared" ref="T44:AA44" si="42">($D44/$D$79)*T$9</f>
        <v>1233328940</v>
      </c>
      <c r="U44" s="65">
        <f t="shared" si="42"/>
        <v>177435325.8</v>
      </c>
      <c r="V44" s="65">
        <f t="shared" si="42"/>
        <v>370862773.6</v>
      </c>
      <c r="W44" s="65">
        <f t="shared" si="42"/>
        <v>329548605.6</v>
      </c>
      <c r="X44" s="65">
        <f t="shared" si="42"/>
        <v>340681124.6</v>
      </c>
      <c r="Y44" s="65">
        <f t="shared" si="42"/>
        <v>229798179.1</v>
      </c>
      <c r="Z44" s="65">
        <f t="shared" si="42"/>
        <v>169802555.9</v>
      </c>
      <c r="AA44" s="65">
        <f t="shared" si="42"/>
        <v>113936708.9</v>
      </c>
      <c r="AB44" s="65">
        <f t="shared" si="38"/>
        <v>1139810941</v>
      </c>
      <c r="AC44" s="65">
        <f t="shared" ref="AC44:AE44" si="43">($D44/$D$79)*AC$9</f>
        <v>278502594.9</v>
      </c>
      <c r="AD44" s="65">
        <f t="shared" si="43"/>
        <v>246835443</v>
      </c>
      <c r="AE44" s="65">
        <f t="shared" si="43"/>
        <v>21135194.3</v>
      </c>
      <c r="AF44" s="65"/>
      <c r="AG44" s="65"/>
      <c r="AH44" s="65"/>
      <c r="AI44" s="46">
        <f t="shared" si="11"/>
        <v>16566323085</v>
      </c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45"/>
      <c r="AZ44" s="46"/>
    </row>
    <row r="45">
      <c r="A45" s="89">
        <v>5.0</v>
      </c>
      <c r="B45" s="68" t="s">
        <v>109</v>
      </c>
      <c r="C45" s="18" t="s">
        <v>105</v>
      </c>
      <c r="D45" s="76">
        <v>44.0</v>
      </c>
      <c r="E45" s="55">
        <v>20330.0</v>
      </c>
      <c r="F45" s="55">
        <v>2528.0</v>
      </c>
      <c r="G45" s="57">
        <v>0.0</v>
      </c>
      <c r="H45" s="90">
        <f t="shared" si="34"/>
        <v>8.04193038</v>
      </c>
      <c r="I45" s="55">
        <v>65.0</v>
      </c>
      <c r="J45" s="55">
        <v>1.056E9</v>
      </c>
      <c r="K45" s="57">
        <v>0.0</v>
      </c>
      <c r="L45" s="55">
        <v>2.97264E9</v>
      </c>
      <c r="M45" s="91">
        <v>9.352E9</v>
      </c>
      <c r="N45" s="55">
        <v>1.274224E10</v>
      </c>
      <c r="O45" s="67">
        <v>1.1222E10</v>
      </c>
      <c r="P45" s="62">
        <f t="shared" si="35"/>
        <v>1218720463</v>
      </c>
      <c r="Q45" s="62">
        <f t="shared" si="36"/>
        <v>136129855</v>
      </c>
      <c r="R45" s="65">
        <v>704.0</v>
      </c>
      <c r="S45" s="46">
        <f t="shared" si="3"/>
        <v>14735490318</v>
      </c>
      <c r="T45" s="65">
        <f t="shared" ref="T45:AA45" si="44">($D45/$D$79)*T$9</f>
        <v>2170658935</v>
      </c>
      <c r="U45" s="65">
        <f t="shared" si="44"/>
        <v>312286173.4</v>
      </c>
      <c r="V45" s="65">
        <f t="shared" si="44"/>
        <v>652718481.5</v>
      </c>
      <c r="W45" s="65">
        <f t="shared" si="44"/>
        <v>580005545.8</v>
      </c>
      <c r="X45" s="65">
        <f t="shared" si="44"/>
        <v>599598779.2</v>
      </c>
      <c r="Y45" s="65">
        <f t="shared" si="44"/>
        <v>404444795.1</v>
      </c>
      <c r="Z45" s="65">
        <f t="shared" si="44"/>
        <v>298852498.5</v>
      </c>
      <c r="AA45" s="65">
        <f t="shared" si="44"/>
        <v>200528607.6</v>
      </c>
      <c r="AB45" s="65">
        <f t="shared" si="38"/>
        <v>464367420.3</v>
      </c>
      <c r="AC45" s="65">
        <f t="shared" ref="AC45:AE45" si="45">($D45/$D$79)*AC$9</f>
        <v>490164567.1</v>
      </c>
      <c r="AD45" s="65">
        <f t="shared" si="45"/>
        <v>434430379.7</v>
      </c>
      <c r="AE45" s="65">
        <f t="shared" si="45"/>
        <v>37197941.97</v>
      </c>
      <c r="AF45" s="65"/>
      <c r="AG45" s="65"/>
      <c r="AH45" s="65"/>
      <c r="AI45" s="46">
        <f t="shared" si="11"/>
        <v>21380744443</v>
      </c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45"/>
      <c r="AZ45" s="46"/>
    </row>
    <row r="46">
      <c r="A46" s="89">
        <v>6.0</v>
      </c>
      <c r="B46" s="68" t="s">
        <v>110</v>
      </c>
      <c r="C46" s="18" t="s">
        <v>105</v>
      </c>
      <c r="D46" s="76"/>
      <c r="E46" s="55"/>
      <c r="F46" s="55"/>
      <c r="G46" s="57"/>
      <c r="H46" s="90"/>
      <c r="I46" s="55"/>
      <c r="J46" s="55"/>
      <c r="K46" s="57"/>
      <c r="L46" s="55"/>
      <c r="M46" s="91"/>
      <c r="N46" s="55"/>
      <c r="O46" s="67"/>
      <c r="P46" s="79"/>
      <c r="Q46" s="79"/>
      <c r="R46" s="65"/>
      <c r="S46" s="46">
        <f t="shared" si="3"/>
        <v>0</v>
      </c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46">
        <f t="shared" si="11"/>
        <v>0</v>
      </c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45"/>
      <c r="AZ46" s="46"/>
    </row>
    <row r="47">
      <c r="A47" s="54"/>
      <c r="B47" s="18" t="s">
        <v>78</v>
      </c>
      <c r="C47" s="18"/>
      <c r="D47" s="76"/>
      <c r="E47" s="92"/>
      <c r="F47" s="92"/>
      <c r="G47" s="93"/>
      <c r="H47" s="92"/>
      <c r="I47" s="55"/>
      <c r="J47" s="55"/>
      <c r="K47" s="55"/>
      <c r="L47" s="55"/>
      <c r="M47" s="55"/>
      <c r="N47" s="55"/>
      <c r="O47" s="67"/>
      <c r="P47" s="79"/>
      <c r="Q47" s="79"/>
      <c r="R47" s="65"/>
      <c r="S47" s="46">
        <f t="shared" si="3"/>
        <v>0</v>
      </c>
      <c r="T47" s="65"/>
      <c r="U47" s="65"/>
      <c r="V47" s="65"/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46">
        <f t="shared" si="11"/>
        <v>0</v>
      </c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45"/>
      <c r="AZ47" s="46"/>
    </row>
    <row r="48">
      <c r="A48" s="94"/>
      <c r="B48" s="18"/>
      <c r="C48" s="18"/>
      <c r="D48" s="95"/>
      <c r="E48" s="95"/>
      <c r="F48" s="55"/>
      <c r="G48" s="93"/>
      <c r="H48" s="96"/>
      <c r="I48" s="78"/>
      <c r="J48" s="91"/>
      <c r="K48" s="91"/>
      <c r="L48" s="91"/>
      <c r="M48" s="91"/>
      <c r="N48" s="91"/>
      <c r="O48" s="97"/>
      <c r="P48" s="79"/>
      <c r="Q48" s="79"/>
      <c r="R48" s="65"/>
      <c r="S48" s="46">
        <f t="shared" si="3"/>
        <v>0</v>
      </c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46">
        <f t="shared" si="11"/>
        <v>0</v>
      </c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45"/>
      <c r="AZ48" s="46"/>
    </row>
    <row r="49">
      <c r="A49" s="85"/>
      <c r="B49" s="86" t="s">
        <v>111</v>
      </c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8"/>
      <c r="P49" s="88"/>
      <c r="Q49" s="88"/>
      <c r="R49" s="88"/>
      <c r="S49" s="46">
        <f t="shared" si="3"/>
        <v>0</v>
      </c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  <c r="AI49" s="46">
        <f t="shared" si="11"/>
        <v>0</v>
      </c>
      <c r="AJ49" s="88"/>
      <c r="AK49" s="88"/>
      <c r="AL49" s="88"/>
      <c r="AM49" s="88"/>
      <c r="AN49" s="88"/>
      <c r="AO49" s="88"/>
      <c r="AP49" s="88"/>
      <c r="AQ49" s="88"/>
      <c r="AR49" s="88"/>
      <c r="AS49" s="88"/>
      <c r="AT49" s="88"/>
      <c r="AU49" s="88"/>
      <c r="AV49" s="88"/>
      <c r="AW49" s="88"/>
      <c r="AX49" s="88"/>
      <c r="AY49" s="46"/>
      <c r="AZ49" s="46"/>
    </row>
    <row r="50">
      <c r="A50" s="54">
        <v>1.0</v>
      </c>
      <c r="B50" s="68" t="s">
        <v>112</v>
      </c>
      <c r="C50" s="18" t="s">
        <v>113</v>
      </c>
      <c r="D50" s="92">
        <v>15.0</v>
      </c>
      <c r="E50" s="56"/>
      <c r="F50" s="57"/>
      <c r="G50" s="92">
        <v>4400.0</v>
      </c>
      <c r="H50" s="56"/>
      <c r="I50" s="56"/>
      <c r="J50" s="55">
        <v>3.6E8</v>
      </c>
      <c r="K50" s="55">
        <v>5.4E8</v>
      </c>
      <c r="L50" s="55">
        <v>8.334E8</v>
      </c>
      <c r="M50" s="55">
        <v>7.345E9</v>
      </c>
      <c r="N50" s="55">
        <v>7.71225E9</v>
      </c>
      <c r="O50" s="67">
        <v>1.079715E10</v>
      </c>
      <c r="P50" s="62">
        <f t="shared" ref="P50:P72" si="48">ROUND((N50/$N$74*$P$75)/5,0)</f>
        <v>737631444</v>
      </c>
      <c r="Q50" s="62">
        <f t="shared" ref="Q50:Q72" si="49">ROUND((O50/$O$74*$Q$75)/40,0)</f>
        <v>130976160</v>
      </c>
      <c r="R50" s="65">
        <v>240.0</v>
      </c>
      <c r="S50" s="46">
        <f t="shared" si="3"/>
        <v>9947007604</v>
      </c>
      <c r="T50" s="65">
        <f t="shared" ref="T50:AA50" si="46">($D50/$D$79)*T$9</f>
        <v>739997364.1</v>
      </c>
      <c r="U50" s="65">
        <f t="shared" si="46"/>
        <v>106461195.5</v>
      </c>
      <c r="V50" s="65">
        <f t="shared" si="46"/>
        <v>222517664.2</v>
      </c>
      <c r="W50" s="65">
        <f t="shared" si="46"/>
        <v>197729163.3</v>
      </c>
      <c r="X50" s="65">
        <f t="shared" si="46"/>
        <v>204408674.7</v>
      </c>
      <c r="Y50" s="65">
        <f t="shared" si="46"/>
        <v>137878907.4</v>
      </c>
      <c r="Z50" s="65">
        <f t="shared" si="46"/>
        <v>101881533.6</v>
      </c>
      <c r="AA50" s="65">
        <f t="shared" si="46"/>
        <v>68362025.32</v>
      </c>
      <c r="AB50" s="65">
        <f t="shared" ref="AB50:AB72" si="51">($R50/$R$79)*AB$9</f>
        <v>158307075.1</v>
      </c>
      <c r="AC50" s="65">
        <f t="shared" ref="AC50:AE50" si="47">($D50/$D$79)*AC$9</f>
        <v>167101557</v>
      </c>
      <c r="AD50" s="65">
        <f t="shared" si="47"/>
        <v>148101265.8</v>
      </c>
      <c r="AE50" s="65">
        <f t="shared" si="47"/>
        <v>12681116.58</v>
      </c>
      <c r="AF50" s="65"/>
      <c r="AG50" s="65"/>
      <c r="AH50" s="65"/>
      <c r="AI50" s="46">
        <f t="shared" si="11"/>
        <v>12212435147</v>
      </c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46"/>
      <c r="AZ50" s="46"/>
    </row>
    <row r="51">
      <c r="A51" s="54">
        <v>2.0</v>
      </c>
      <c r="B51" s="18" t="s">
        <v>114</v>
      </c>
      <c r="C51" s="18" t="s">
        <v>113</v>
      </c>
      <c r="D51" s="92">
        <v>6.0</v>
      </c>
      <c r="E51" s="56"/>
      <c r="F51" s="57"/>
      <c r="G51" s="92">
        <v>11200.0</v>
      </c>
      <c r="H51" s="56"/>
      <c r="I51" s="56"/>
      <c r="J51" s="55">
        <v>1.44E8</v>
      </c>
      <c r="K51" s="55">
        <v>1.008E10</v>
      </c>
      <c r="L51" s="55">
        <v>2.2224E8</v>
      </c>
      <c r="M51" s="55">
        <v>6.24E8</v>
      </c>
      <c r="N51" s="55">
        <v>5.7408E9</v>
      </c>
      <c r="O51" s="67">
        <v>6.88896E9</v>
      </c>
      <c r="P51" s="62">
        <f t="shared" si="48"/>
        <v>549073824</v>
      </c>
      <c r="Q51" s="62">
        <f t="shared" si="49"/>
        <v>83567379</v>
      </c>
      <c r="R51" s="65">
        <v>540.0</v>
      </c>
      <c r="S51" s="46">
        <f t="shared" si="3"/>
        <v>11702881203</v>
      </c>
      <c r="T51" s="65">
        <f t="shared" ref="T51:AA51" si="50">($D51/$D$79)*T$9</f>
        <v>295998945.6</v>
      </c>
      <c r="U51" s="65">
        <f t="shared" si="50"/>
        <v>42584478.2</v>
      </c>
      <c r="V51" s="65">
        <f t="shared" si="50"/>
        <v>89007065.67</v>
      </c>
      <c r="W51" s="65">
        <f t="shared" si="50"/>
        <v>79091665.34</v>
      </c>
      <c r="X51" s="65">
        <f t="shared" si="50"/>
        <v>81763469.89</v>
      </c>
      <c r="Y51" s="65">
        <f t="shared" si="50"/>
        <v>55151562.97</v>
      </c>
      <c r="Z51" s="65">
        <f t="shared" si="50"/>
        <v>40752613.43</v>
      </c>
      <c r="AA51" s="65">
        <f t="shared" si="50"/>
        <v>27344810.13</v>
      </c>
      <c r="AB51" s="65">
        <f t="shared" si="51"/>
        <v>356190919</v>
      </c>
      <c r="AC51" s="65">
        <f t="shared" ref="AC51:AE51" si="52">($D51/$D$79)*AC$9</f>
        <v>66840622.78</v>
      </c>
      <c r="AD51" s="65">
        <f t="shared" si="52"/>
        <v>59240506.33</v>
      </c>
      <c r="AE51" s="65">
        <f t="shared" si="52"/>
        <v>5072446.633</v>
      </c>
      <c r="AF51" s="65"/>
      <c r="AG51" s="65"/>
      <c r="AH51" s="65"/>
      <c r="AI51" s="46">
        <f t="shared" si="11"/>
        <v>12901920309</v>
      </c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46"/>
      <c r="AZ51" s="46"/>
    </row>
    <row r="52">
      <c r="A52" s="54">
        <v>3.0</v>
      </c>
      <c r="B52" s="18" t="s">
        <v>115</v>
      </c>
      <c r="C52" s="18" t="s">
        <v>113</v>
      </c>
      <c r="D52" s="92">
        <v>4.0</v>
      </c>
      <c r="E52" s="56"/>
      <c r="F52" s="57"/>
      <c r="G52" s="92">
        <v>6590.0</v>
      </c>
      <c r="H52" s="56"/>
      <c r="I52" s="56"/>
      <c r="J52" s="55">
        <v>9.6E7</v>
      </c>
      <c r="K52" s="55">
        <v>6.831E9</v>
      </c>
      <c r="L52" s="55">
        <v>1.4816E8</v>
      </c>
      <c r="M52" s="55">
        <v>4.68E8</v>
      </c>
      <c r="N52" s="55">
        <v>4.3056E9</v>
      </c>
      <c r="O52" s="67">
        <v>6.02784E9</v>
      </c>
      <c r="P52" s="62">
        <f t="shared" si="48"/>
        <v>411805368</v>
      </c>
      <c r="Q52" s="62">
        <f t="shared" si="49"/>
        <v>73121457</v>
      </c>
      <c r="R52" s="65">
        <v>240.0</v>
      </c>
      <c r="S52" s="46">
        <f t="shared" si="3"/>
        <v>8028086825</v>
      </c>
      <c r="T52" s="65">
        <f t="shared" ref="T52:AA52" si="53">($D52/$D$79)*T$9</f>
        <v>197332630.4</v>
      </c>
      <c r="U52" s="65">
        <f t="shared" si="53"/>
        <v>28389652.13</v>
      </c>
      <c r="V52" s="65">
        <f t="shared" si="53"/>
        <v>59338043.78</v>
      </c>
      <c r="W52" s="65">
        <f t="shared" si="53"/>
        <v>52727776.89</v>
      </c>
      <c r="X52" s="65">
        <f t="shared" si="53"/>
        <v>54508979.93</v>
      </c>
      <c r="Y52" s="65">
        <f t="shared" si="53"/>
        <v>36767708.65</v>
      </c>
      <c r="Z52" s="65">
        <f t="shared" si="53"/>
        <v>27168408.95</v>
      </c>
      <c r="AA52" s="65">
        <f t="shared" si="53"/>
        <v>18229873.42</v>
      </c>
      <c r="AB52" s="65">
        <f t="shared" si="51"/>
        <v>158307075.1</v>
      </c>
      <c r="AC52" s="65">
        <f t="shared" ref="AC52:AE52" si="54">($D52/$D$79)*AC$9</f>
        <v>44560415.19</v>
      </c>
      <c r="AD52" s="65">
        <f t="shared" si="54"/>
        <v>39493670.89</v>
      </c>
      <c r="AE52" s="65">
        <f t="shared" si="54"/>
        <v>3381631.089</v>
      </c>
      <c r="AF52" s="65"/>
      <c r="AG52" s="65"/>
      <c r="AH52" s="65"/>
      <c r="AI52" s="46">
        <f t="shared" si="11"/>
        <v>8748292691</v>
      </c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46"/>
      <c r="AZ52" s="46"/>
    </row>
    <row r="53">
      <c r="A53" s="54">
        <v>4.0</v>
      </c>
      <c r="B53" s="18" t="s">
        <v>116</v>
      </c>
      <c r="C53" s="18" t="s">
        <v>113</v>
      </c>
      <c r="D53" s="92">
        <v>4.0</v>
      </c>
      <c r="E53" s="56"/>
      <c r="F53" s="57"/>
      <c r="G53" s="92">
        <v>7308.0</v>
      </c>
      <c r="H53" s="56"/>
      <c r="I53" s="56"/>
      <c r="J53" s="55">
        <v>9.6E7</v>
      </c>
      <c r="K53" s="55">
        <v>6.5772E9</v>
      </c>
      <c r="L53" s="55">
        <v>1.4816E8</v>
      </c>
      <c r="M53" s="55">
        <v>4.68E8</v>
      </c>
      <c r="N53" s="55">
        <v>4.3056E9</v>
      </c>
      <c r="O53" s="67">
        <v>5.16672E9</v>
      </c>
      <c r="P53" s="62">
        <f t="shared" si="48"/>
        <v>411805368</v>
      </c>
      <c r="Q53" s="62">
        <f t="shared" si="49"/>
        <v>62675534</v>
      </c>
      <c r="R53" s="65">
        <v>640.0</v>
      </c>
      <c r="S53" s="46">
        <f t="shared" si="3"/>
        <v>7763840902</v>
      </c>
      <c r="T53" s="65">
        <f t="shared" ref="T53:AA53" si="55">($D53/$D$79)*T$9</f>
        <v>197332630.4</v>
      </c>
      <c r="U53" s="65">
        <f t="shared" si="55"/>
        <v>28389652.13</v>
      </c>
      <c r="V53" s="65">
        <f t="shared" si="55"/>
        <v>59338043.78</v>
      </c>
      <c r="W53" s="65">
        <f t="shared" si="55"/>
        <v>52727776.89</v>
      </c>
      <c r="X53" s="65">
        <f t="shared" si="55"/>
        <v>54508979.93</v>
      </c>
      <c r="Y53" s="65">
        <f t="shared" si="55"/>
        <v>36767708.65</v>
      </c>
      <c r="Z53" s="65">
        <f t="shared" si="55"/>
        <v>27168408.95</v>
      </c>
      <c r="AA53" s="65">
        <f t="shared" si="55"/>
        <v>18229873.42</v>
      </c>
      <c r="AB53" s="65">
        <f t="shared" si="51"/>
        <v>422152200.3</v>
      </c>
      <c r="AC53" s="65">
        <f t="shared" ref="AC53:AE53" si="56">($D53/$D$79)*AC$9</f>
        <v>44560415.19</v>
      </c>
      <c r="AD53" s="65">
        <f t="shared" si="56"/>
        <v>39493670.89</v>
      </c>
      <c r="AE53" s="65">
        <f t="shared" si="56"/>
        <v>3381631.089</v>
      </c>
      <c r="AF53" s="65"/>
      <c r="AG53" s="65"/>
      <c r="AH53" s="65"/>
      <c r="AI53" s="46">
        <f t="shared" si="11"/>
        <v>8747891894</v>
      </c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46"/>
      <c r="AZ53" s="46"/>
    </row>
    <row r="54">
      <c r="A54" s="54">
        <v>5.0</v>
      </c>
      <c r="B54" s="18" t="s">
        <v>117</v>
      </c>
      <c r="C54" s="18" t="s">
        <v>113</v>
      </c>
      <c r="D54" s="92">
        <v>8.0</v>
      </c>
      <c r="E54" s="56"/>
      <c r="F54" s="57"/>
      <c r="G54" s="92">
        <v>12120.0</v>
      </c>
      <c r="H54" s="56"/>
      <c r="I54" s="56"/>
      <c r="J54" s="55">
        <v>1.92E8</v>
      </c>
      <c r="K54" s="55">
        <v>1.0908E10</v>
      </c>
      <c r="L54" s="55">
        <v>2.9632E8</v>
      </c>
      <c r="M54" s="55">
        <v>6.24E8</v>
      </c>
      <c r="N54" s="55">
        <v>5.7408E9</v>
      </c>
      <c r="O54" s="67">
        <v>8.037119999999999E9</v>
      </c>
      <c r="P54" s="62">
        <f t="shared" si="48"/>
        <v>549073824</v>
      </c>
      <c r="Q54" s="62">
        <f t="shared" si="49"/>
        <v>97495276</v>
      </c>
      <c r="R54" s="65">
        <v>640.0</v>
      </c>
      <c r="S54" s="46">
        <f t="shared" si="3"/>
        <v>12666889100</v>
      </c>
      <c r="T54" s="65">
        <f t="shared" ref="T54:AA54" si="57">($D54/$D$79)*T$9</f>
        <v>394665260.9</v>
      </c>
      <c r="U54" s="65">
        <f t="shared" si="57"/>
        <v>56779304.26</v>
      </c>
      <c r="V54" s="65">
        <f t="shared" si="57"/>
        <v>118676087.6</v>
      </c>
      <c r="W54" s="65">
        <f t="shared" si="57"/>
        <v>105455553.8</v>
      </c>
      <c r="X54" s="65">
        <f t="shared" si="57"/>
        <v>109017959.9</v>
      </c>
      <c r="Y54" s="65">
        <f t="shared" si="57"/>
        <v>73535417.3</v>
      </c>
      <c r="Z54" s="65">
        <f t="shared" si="57"/>
        <v>54336817.9</v>
      </c>
      <c r="AA54" s="65">
        <f t="shared" si="57"/>
        <v>36459746.84</v>
      </c>
      <c r="AB54" s="65">
        <f t="shared" si="51"/>
        <v>422152200.3</v>
      </c>
      <c r="AC54" s="65">
        <f t="shared" ref="AC54:AE54" si="58">($D54/$D$79)*AC$9</f>
        <v>89120830.38</v>
      </c>
      <c r="AD54" s="65">
        <f t="shared" si="58"/>
        <v>78987341.77</v>
      </c>
      <c r="AE54" s="65">
        <f t="shared" si="58"/>
        <v>6763262.177</v>
      </c>
      <c r="AF54" s="65"/>
      <c r="AG54" s="65"/>
      <c r="AH54" s="65"/>
      <c r="AI54" s="46">
        <f t="shared" si="11"/>
        <v>14212838883</v>
      </c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46"/>
      <c r="AZ54" s="46"/>
    </row>
    <row r="55">
      <c r="A55" s="54">
        <v>6.0</v>
      </c>
      <c r="B55" s="18" t="s">
        <v>118</v>
      </c>
      <c r="C55" s="18" t="s">
        <v>113</v>
      </c>
      <c r="D55" s="92">
        <v>4.0</v>
      </c>
      <c r="E55" s="56"/>
      <c r="F55" s="57"/>
      <c r="G55" s="92">
        <v>4756.0</v>
      </c>
      <c r="H55" s="56"/>
      <c r="I55" s="56"/>
      <c r="J55" s="55">
        <v>9.6E7</v>
      </c>
      <c r="K55" s="55">
        <v>4.2804E9</v>
      </c>
      <c r="L55" s="55">
        <v>1.4816E8</v>
      </c>
      <c r="M55" s="55">
        <v>3.12E8</v>
      </c>
      <c r="N55" s="55">
        <v>2.8704E9</v>
      </c>
      <c r="O55" s="67">
        <v>3.44448E9</v>
      </c>
      <c r="P55" s="62">
        <f t="shared" si="48"/>
        <v>274536912</v>
      </c>
      <c r="Q55" s="62">
        <f t="shared" si="49"/>
        <v>41783690</v>
      </c>
      <c r="R55" s="65">
        <v>320.0</v>
      </c>
      <c r="S55" s="46">
        <f t="shared" si="3"/>
        <v>5152880602</v>
      </c>
      <c r="T55" s="65">
        <f t="shared" ref="T55:AA55" si="59">($D55/$D$79)*T$9</f>
        <v>197332630.4</v>
      </c>
      <c r="U55" s="65">
        <f t="shared" si="59"/>
        <v>28389652.13</v>
      </c>
      <c r="V55" s="65">
        <f t="shared" si="59"/>
        <v>59338043.78</v>
      </c>
      <c r="W55" s="65">
        <f t="shared" si="59"/>
        <v>52727776.89</v>
      </c>
      <c r="X55" s="65">
        <f t="shared" si="59"/>
        <v>54508979.93</v>
      </c>
      <c r="Y55" s="65">
        <f t="shared" si="59"/>
        <v>36767708.65</v>
      </c>
      <c r="Z55" s="65">
        <f t="shared" si="59"/>
        <v>27168408.95</v>
      </c>
      <c r="AA55" s="65">
        <f t="shared" si="59"/>
        <v>18229873.42</v>
      </c>
      <c r="AB55" s="65">
        <f t="shared" si="51"/>
        <v>211076100.2</v>
      </c>
      <c r="AC55" s="65">
        <f t="shared" ref="AC55:AE55" si="60">($D55/$D$79)*AC$9</f>
        <v>44560415.19</v>
      </c>
      <c r="AD55" s="65">
        <f t="shared" si="60"/>
        <v>39493670.89</v>
      </c>
      <c r="AE55" s="65">
        <f t="shared" si="60"/>
        <v>3381631.089</v>
      </c>
      <c r="AF55" s="65"/>
      <c r="AG55" s="65"/>
      <c r="AH55" s="65"/>
      <c r="AI55" s="46">
        <f t="shared" si="11"/>
        <v>5925855494</v>
      </c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46"/>
      <c r="AZ55" s="46"/>
    </row>
    <row r="56">
      <c r="A56" s="54">
        <v>7.0</v>
      </c>
      <c r="B56" s="18" t="s">
        <v>119</v>
      </c>
      <c r="C56" s="18" t="s">
        <v>113</v>
      </c>
      <c r="D56" s="92">
        <v>6.0</v>
      </c>
      <c r="E56" s="56"/>
      <c r="F56" s="57"/>
      <c r="G56" s="92">
        <v>8890.0</v>
      </c>
      <c r="H56" s="56"/>
      <c r="I56" s="56"/>
      <c r="J56" s="55">
        <v>1.44E8</v>
      </c>
      <c r="K56" s="55">
        <v>8.001E9</v>
      </c>
      <c r="L56" s="55">
        <v>2.2224E8</v>
      </c>
      <c r="M56" s="55">
        <v>6.24E8</v>
      </c>
      <c r="N56" s="55">
        <v>5.7408E9</v>
      </c>
      <c r="O56" s="67">
        <v>8.037119999999999E9</v>
      </c>
      <c r="P56" s="62">
        <f t="shared" si="48"/>
        <v>549073824</v>
      </c>
      <c r="Q56" s="62">
        <f t="shared" si="49"/>
        <v>97495276</v>
      </c>
      <c r="R56" s="65">
        <v>320.0</v>
      </c>
      <c r="S56" s="46">
        <f t="shared" si="3"/>
        <v>9637809100</v>
      </c>
      <c r="T56" s="65">
        <f t="shared" ref="T56:AA56" si="61">($D56/$D$79)*T$9</f>
        <v>295998945.6</v>
      </c>
      <c r="U56" s="65">
        <f t="shared" si="61"/>
        <v>42584478.2</v>
      </c>
      <c r="V56" s="65">
        <f t="shared" si="61"/>
        <v>89007065.67</v>
      </c>
      <c r="W56" s="65">
        <f t="shared" si="61"/>
        <v>79091665.34</v>
      </c>
      <c r="X56" s="65">
        <f t="shared" si="61"/>
        <v>81763469.89</v>
      </c>
      <c r="Y56" s="65">
        <f t="shared" si="61"/>
        <v>55151562.97</v>
      </c>
      <c r="Z56" s="65">
        <f t="shared" si="61"/>
        <v>40752613.43</v>
      </c>
      <c r="AA56" s="65">
        <f t="shared" si="61"/>
        <v>27344810.13</v>
      </c>
      <c r="AB56" s="65">
        <f t="shared" si="51"/>
        <v>211076100.2</v>
      </c>
      <c r="AC56" s="65">
        <f t="shared" ref="AC56:AE56" si="62">($D56/$D$79)*AC$9</f>
        <v>66840622.78</v>
      </c>
      <c r="AD56" s="65">
        <f t="shared" si="62"/>
        <v>59240506.33</v>
      </c>
      <c r="AE56" s="65">
        <f t="shared" si="62"/>
        <v>5072446.633</v>
      </c>
      <c r="AF56" s="65"/>
      <c r="AG56" s="65"/>
      <c r="AH56" s="65"/>
      <c r="AI56" s="46">
        <f t="shared" si="11"/>
        <v>10691733387</v>
      </c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46"/>
      <c r="AZ56" s="46"/>
    </row>
    <row r="57">
      <c r="A57" s="54">
        <v>8.0</v>
      </c>
      <c r="B57" s="18" t="s">
        <v>120</v>
      </c>
      <c r="C57" s="18" t="s">
        <v>113</v>
      </c>
      <c r="D57" s="92">
        <v>8.0</v>
      </c>
      <c r="E57" s="56"/>
      <c r="F57" s="57"/>
      <c r="G57" s="92">
        <v>13970.0</v>
      </c>
      <c r="H57" s="56"/>
      <c r="I57" s="56"/>
      <c r="J57" s="55">
        <v>1.92E8</v>
      </c>
      <c r="K57" s="55">
        <v>1.2573E10</v>
      </c>
      <c r="L57" s="55">
        <v>2.9632E8</v>
      </c>
      <c r="M57" s="55">
        <v>7.8E8</v>
      </c>
      <c r="N57" s="55">
        <v>7.175999999999999E9</v>
      </c>
      <c r="O57" s="67">
        <v>8.611199999999998E9</v>
      </c>
      <c r="P57" s="62">
        <f t="shared" si="48"/>
        <v>686342279</v>
      </c>
      <c r="Q57" s="62">
        <f t="shared" si="49"/>
        <v>104459224</v>
      </c>
      <c r="R57" s="65">
        <v>400.0</v>
      </c>
      <c r="S57" s="46">
        <f t="shared" si="3"/>
        <v>14632121503</v>
      </c>
      <c r="T57" s="65">
        <f t="shared" ref="T57:AA57" si="63">($D57/$D$79)*T$9</f>
        <v>394665260.9</v>
      </c>
      <c r="U57" s="65">
        <f t="shared" si="63"/>
        <v>56779304.26</v>
      </c>
      <c r="V57" s="65">
        <f t="shared" si="63"/>
        <v>118676087.6</v>
      </c>
      <c r="W57" s="65">
        <f t="shared" si="63"/>
        <v>105455553.8</v>
      </c>
      <c r="X57" s="65">
        <f t="shared" si="63"/>
        <v>109017959.9</v>
      </c>
      <c r="Y57" s="65">
        <f t="shared" si="63"/>
        <v>73535417.3</v>
      </c>
      <c r="Z57" s="65">
        <f t="shared" si="63"/>
        <v>54336817.9</v>
      </c>
      <c r="AA57" s="65">
        <f t="shared" si="63"/>
        <v>36459746.84</v>
      </c>
      <c r="AB57" s="65">
        <f t="shared" si="51"/>
        <v>263845125.2</v>
      </c>
      <c r="AC57" s="65">
        <f t="shared" ref="AC57:AE57" si="64">($D57/$D$79)*AC$9</f>
        <v>89120830.38</v>
      </c>
      <c r="AD57" s="65">
        <f t="shared" si="64"/>
        <v>78987341.77</v>
      </c>
      <c r="AE57" s="65">
        <f t="shared" si="64"/>
        <v>6763262.177</v>
      </c>
      <c r="AF57" s="65"/>
      <c r="AG57" s="65"/>
      <c r="AH57" s="65"/>
      <c r="AI57" s="46">
        <f t="shared" si="11"/>
        <v>16019764211</v>
      </c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46"/>
      <c r="AZ57" s="46"/>
    </row>
    <row r="58">
      <c r="A58" s="54">
        <v>9.0</v>
      </c>
      <c r="B58" s="18" t="s">
        <v>121</v>
      </c>
      <c r="C58" s="18" t="s">
        <v>113</v>
      </c>
      <c r="D58" s="92">
        <v>2.0</v>
      </c>
      <c r="E58" s="56"/>
      <c r="F58" s="57"/>
      <c r="G58" s="92">
        <v>3200.0</v>
      </c>
      <c r="H58" s="56"/>
      <c r="I58" s="56"/>
      <c r="J58" s="55">
        <v>4.8E7</v>
      </c>
      <c r="K58" s="55">
        <v>2.88E9</v>
      </c>
      <c r="L58" s="55">
        <v>7.408E7</v>
      </c>
      <c r="M58" s="55">
        <v>1.56E8</v>
      </c>
      <c r="N58" s="55">
        <v>1.4352E9</v>
      </c>
      <c r="O58" s="67">
        <v>2.0092799999999998E9</v>
      </c>
      <c r="P58" s="62">
        <f t="shared" si="48"/>
        <v>137268456</v>
      </c>
      <c r="Q58" s="62">
        <f t="shared" si="49"/>
        <v>24373819</v>
      </c>
      <c r="R58" s="65">
        <v>160.0</v>
      </c>
      <c r="S58" s="46">
        <f t="shared" si="3"/>
        <v>3319722275</v>
      </c>
      <c r="T58" s="65">
        <f t="shared" ref="T58:AA58" si="65">($D58/$D$79)*T$9</f>
        <v>98666315.22</v>
      </c>
      <c r="U58" s="65">
        <f t="shared" si="65"/>
        <v>14194826.07</v>
      </c>
      <c r="V58" s="65">
        <f t="shared" si="65"/>
        <v>29669021.89</v>
      </c>
      <c r="W58" s="65">
        <f t="shared" si="65"/>
        <v>26363888.45</v>
      </c>
      <c r="X58" s="65">
        <f t="shared" si="65"/>
        <v>27254489.96</v>
      </c>
      <c r="Y58" s="65">
        <f t="shared" si="65"/>
        <v>18383854.32</v>
      </c>
      <c r="Z58" s="65">
        <f t="shared" si="65"/>
        <v>13584204.48</v>
      </c>
      <c r="AA58" s="65">
        <f t="shared" si="65"/>
        <v>9114936.709</v>
      </c>
      <c r="AB58" s="65">
        <f t="shared" si="51"/>
        <v>105538050.1</v>
      </c>
      <c r="AC58" s="65">
        <f t="shared" ref="AC58:AE58" si="66">($D58/$D$79)*AC$9</f>
        <v>22280207.59</v>
      </c>
      <c r="AD58" s="65">
        <f t="shared" si="66"/>
        <v>19746835.44</v>
      </c>
      <c r="AE58" s="65">
        <f t="shared" si="66"/>
        <v>1690815.544</v>
      </c>
      <c r="AF58" s="65"/>
      <c r="AG58" s="65"/>
      <c r="AH58" s="65"/>
      <c r="AI58" s="46">
        <f t="shared" si="11"/>
        <v>3706209721</v>
      </c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46"/>
      <c r="AZ58" s="46"/>
    </row>
    <row r="59">
      <c r="A59" s="54">
        <v>10.0</v>
      </c>
      <c r="B59" s="18" t="s">
        <v>122</v>
      </c>
      <c r="C59" s="18" t="s">
        <v>113</v>
      </c>
      <c r="D59" s="92">
        <v>4.0</v>
      </c>
      <c r="E59" s="56"/>
      <c r="F59" s="57"/>
      <c r="G59" s="92">
        <v>5200.0</v>
      </c>
      <c r="H59" s="56"/>
      <c r="I59" s="56"/>
      <c r="J59" s="55">
        <v>9.6E7</v>
      </c>
      <c r="K59" s="55">
        <v>4.68E9</v>
      </c>
      <c r="L59" s="55">
        <v>1.4816E8</v>
      </c>
      <c r="M59" s="55">
        <v>1.56E8</v>
      </c>
      <c r="N59" s="55">
        <v>1.4352E9</v>
      </c>
      <c r="O59" s="67">
        <v>1.72224E9</v>
      </c>
      <c r="P59" s="62">
        <f t="shared" si="48"/>
        <v>137268456</v>
      </c>
      <c r="Q59" s="62">
        <f t="shared" si="49"/>
        <v>20891845</v>
      </c>
      <c r="R59" s="65">
        <v>160.0</v>
      </c>
      <c r="S59" s="46">
        <f t="shared" si="3"/>
        <v>5238320301</v>
      </c>
      <c r="T59" s="65">
        <f t="shared" ref="T59:AA59" si="67">($D59/$D$79)*T$9</f>
        <v>197332630.4</v>
      </c>
      <c r="U59" s="65">
        <f t="shared" si="67"/>
        <v>28389652.13</v>
      </c>
      <c r="V59" s="65">
        <f t="shared" si="67"/>
        <v>59338043.78</v>
      </c>
      <c r="W59" s="65">
        <f t="shared" si="67"/>
        <v>52727776.89</v>
      </c>
      <c r="X59" s="65">
        <f t="shared" si="67"/>
        <v>54508979.93</v>
      </c>
      <c r="Y59" s="65">
        <f t="shared" si="67"/>
        <v>36767708.65</v>
      </c>
      <c r="Z59" s="65">
        <f t="shared" si="67"/>
        <v>27168408.95</v>
      </c>
      <c r="AA59" s="65">
        <f t="shared" si="67"/>
        <v>18229873.42</v>
      </c>
      <c r="AB59" s="65">
        <f t="shared" si="51"/>
        <v>105538050.1</v>
      </c>
      <c r="AC59" s="65">
        <f t="shared" ref="AC59:AE59" si="68">($D59/$D$79)*AC$9</f>
        <v>44560415.19</v>
      </c>
      <c r="AD59" s="65">
        <f t="shared" si="68"/>
        <v>39493670.89</v>
      </c>
      <c r="AE59" s="65">
        <f t="shared" si="68"/>
        <v>3381631.089</v>
      </c>
      <c r="AF59" s="65"/>
      <c r="AG59" s="65"/>
      <c r="AH59" s="65"/>
      <c r="AI59" s="46">
        <f t="shared" si="11"/>
        <v>5905757142</v>
      </c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46"/>
      <c r="AZ59" s="46"/>
    </row>
    <row r="60">
      <c r="A60" s="54">
        <v>11.0</v>
      </c>
      <c r="B60" s="18" t="s">
        <v>123</v>
      </c>
      <c r="C60" s="18" t="s">
        <v>113</v>
      </c>
      <c r="D60" s="92">
        <v>2.0</v>
      </c>
      <c r="E60" s="56"/>
      <c r="F60" s="57"/>
      <c r="G60" s="92">
        <v>1450.0</v>
      </c>
      <c r="H60" s="56"/>
      <c r="I60" s="56"/>
      <c r="J60" s="55">
        <v>4.8E7</v>
      </c>
      <c r="K60" s="55">
        <v>1.305E9</v>
      </c>
      <c r="L60" s="55">
        <v>7.408E7</v>
      </c>
      <c r="M60" s="55">
        <v>9.36E7</v>
      </c>
      <c r="N60" s="55">
        <v>8.611199999999999E8</v>
      </c>
      <c r="O60" s="67">
        <v>1.2055679999999998E9</v>
      </c>
      <c r="P60" s="62">
        <f t="shared" si="48"/>
        <v>82361074</v>
      </c>
      <c r="Q60" s="62">
        <f t="shared" si="49"/>
        <v>14624291</v>
      </c>
      <c r="R60" s="65">
        <v>180.0</v>
      </c>
      <c r="S60" s="46">
        <f t="shared" si="3"/>
        <v>1617665365</v>
      </c>
      <c r="T60" s="65">
        <f t="shared" ref="T60:AA60" si="69">($D60/$D$79)*T$9</f>
        <v>98666315.22</v>
      </c>
      <c r="U60" s="65">
        <f t="shared" si="69"/>
        <v>14194826.07</v>
      </c>
      <c r="V60" s="65">
        <f t="shared" si="69"/>
        <v>29669021.89</v>
      </c>
      <c r="W60" s="65">
        <f t="shared" si="69"/>
        <v>26363888.45</v>
      </c>
      <c r="X60" s="65">
        <f t="shared" si="69"/>
        <v>27254489.96</v>
      </c>
      <c r="Y60" s="65">
        <f t="shared" si="69"/>
        <v>18383854.32</v>
      </c>
      <c r="Z60" s="65">
        <f t="shared" si="69"/>
        <v>13584204.48</v>
      </c>
      <c r="AA60" s="65">
        <f t="shared" si="69"/>
        <v>9114936.709</v>
      </c>
      <c r="AB60" s="65">
        <f t="shared" si="51"/>
        <v>118730306.3</v>
      </c>
      <c r="AC60" s="65">
        <f t="shared" ref="AC60:AE60" si="70">($D60/$D$79)*AC$9</f>
        <v>22280207.59</v>
      </c>
      <c r="AD60" s="65">
        <f t="shared" si="70"/>
        <v>19746835.44</v>
      </c>
      <c r="AE60" s="65">
        <f t="shared" si="70"/>
        <v>1690815.544</v>
      </c>
      <c r="AF60" s="65"/>
      <c r="AG60" s="65"/>
      <c r="AH60" s="65"/>
      <c r="AI60" s="46">
        <f t="shared" si="11"/>
        <v>2017345067</v>
      </c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46"/>
      <c r="AZ60" s="46"/>
    </row>
    <row r="61">
      <c r="A61" s="54">
        <v>12.0</v>
      </c>
      <c r="B61" s="18" t="s">
        <v>124</v>
      </c>
      <c r="C61" s="18" t="s">
        <v>113</v>
      </c>
      <c r="D61" s="92">
        <v>2.0</v>
      </c>
      <c r="E61" s="56"/>
      <c r="F61" s="57"/>
      <c r="G61" s="92">
        <v>1320.0</v>
      </c>
      <c r="H61" s="56"/>
      <c r="I61" s="56"/>
      <c r="J61" s="55">
        <v>4.8E7</v>
      </c>
      <c r="K61" s="55">
        <v>1.188E9</v>
      </c>
      <c r="L61" s="55">
        <v>7.408E7</v>
      </c>
      <c r="M61" s="55">
        <v>9.36E7</v>
      </c>
      <c r="N61" s="55">
        <v>8.611199999999999E8</v>
      </c>
      <c r="O61" s="67">
        <v>1.0333439999999998E9</v>
      </c>
      <c r="P61" s="62">
        <f t="shared" si="48"/>
        <v>82361074</v>
      </c>
      <c r="Q61" s="62">
        <f t="shared" si="49"/>
        <v>12535107</v>
      </c>
      <c r="R61" s="65">
        <v>200.0</v>
      </c>
      <c r="S61" s="46">
        <f t="shared" si="3"/>
        <v>1498576181</v>
      </c>
      <c r="T61" s="65">
        <f t="shared" ref="T61:AA61" si="71">($D61/$D$79)*T$9</f>
        <v>98666315.22</v>
      </c>
      <c r="U61" s="65">
        <f t="shared" si="71"/>
        <v>14194826.07</v>
      </c>
      <c r="V61" s="65">
        <f t="shared" si="71"/>
        <v>29669021.89</v>
      </c>
      <c r="W61" s="65">
        <f t="shared" si="71"/>
        <v>26363888.45</v>
      </c>
      <c r="X61" s="65">
        <f t="shared" si="71"/>
        <v>27254489.96</v>
      </c>
      <c r="Y61" s="65">
        <f t="shared" si="71"/>
        <v>18383854.32</v>
      </c>
      <c r="Z61" s="65">
        <f t="shared" si="71"/>
        <v>13584204.48</v>
      </c>
      <c r="AA61" s="65">
        <f t="shared" si="71"/>
        <v>9114936.709</v>
      </c>
      <c r="AB61" s="65">
        <f t="shared" si="51"/>
        <v>131922562.6</v>
      </c>
      <c r="AC61" s="65">
        <f t="shared" ref="AC61:AE61" si="72">($D61/$D$79)*AC$9</f>
        <v>22280207.59</v>
      </c>
      <c r="AD61" s="65">
        <f t="shared" si="72"/>
        <v>19746835.44</v>
      </c>
      <c r="AE61" s="65">
        <f t="shared" si="72"/>
        <v>1690815.544</v>
      </c>
      <c r="AF61" s="65"/>
      <c r="AG61" s="65"/>
      <c r="AH61" s="65"/>
      <c r="AI61" s="46">
        <f t="shared" si="11"/>
        <v>1911448139</v>
      </c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46"/>
      <c r="AZ61" s="46"/>
    </row>
    <row r="62">
      <c r="A62" s="54">
        <v>13.0</v>
      </c>
      <c r="B62" s="18" t="s">
        <v>125</v>
      </c>
      <c r="C62" s="18" t="s">
        <v>113</v>
      </c>
      <c r="D62" s="92">
        <v>4.0</v>
      </c>
      <c r="E62" s="56"/>
      <c r="F62" s="57"/>
      <c r="G62" s="92">
        <v>5100.0</v>
      </c>
      <c r="H62" s="56"/>
      <c r="I62" s="56"/>
      <c r="J62" s="55">
        <v>9.6E7</v>
      </c>
      <c r="K62" s="55">
        <v>4.59E9</v>
      </c>
      <c r="L62" s="55">
        <v>1.4816E8</v>
      </c>
      <c r="M62" s="55">
        <v>3.12E8</v>
      </c>
      <c r="N62" s="55">
        <v>2.8704E9</v>
      </c>
      <c r="O62" s="67">
        <v>4.0185599999999995E9</v>
      </c>
      <c r="P62" s="62">
        <f t="shared" si="48"/>
        <v>274536912</v>
      </c>
      <c r="Q62" s="62">
        <f t="shared" si="49"/>
        <v>48747638</v>
      </c>
      <c r="R62" s="65">
        <v>320.0</v>
      </c>
      <c r="S62" s="46">
        <f t="shared" si="3"/>
        <v>5469444550</v>
      </c>
      <c r="T62" s="65">
        <f t="shared" ref="T62:AA62" si="73">($D62/$D$79)*T$9</f>
        <v>197332630.4</v>
      </c>
      <c r="U62" s="65">
        <f t="shared" si="73"/>
        <v>28389652.13</v>
      </c>
      <c r="V62" s="65">
        <f t="shared" si="73"/>
        <v>59338043.78</v>
      </c>
      <c r="W62" s="65">
        <f t="shared" si="73"/>
        <v>52727776.89</v>
      </c>
      <c r="X62" s="65">
        <f t="shared" si="73"/>
        <v>54508979.93</v>
      </c>
      <c r="Y62" s="65">
        <f t="shared" si="73"/>
        <v>36767708.65</v>
      </c>
      <c r="Z62" s="65">
        <f t="shared" si="73"/>
        <v>27168408.95</v>
      </c>
      <c r="AA62" s="65">
        <f t="shared" si="73"/>
        <v>18229873.42</v>
      </c>
      <c r="AB62" s="65">
        <f t="shared" si="51"/>
        <v>211076100.2</v>
      </c>
      <c r="AC62" s="65">
        <f t="shared" ref="AC62:AE62" si="74">($D62/$D$79)*AC$9</f>
        <v>44560415.19</v>
      </c>
      <c r="AD62" s="65">
        <f t="shared" si="74"/>
        <v>39493670.89</v>
      </c>
      <c r="AE62" s="65">
        <f t="shared" si="74"/>
        <v>3381631.089</v>
      </c>
      <c r="AF62" s="65"/>
      <c r="AG62" s="65"/>
      <c r="AH62" s="65"/>
      <c r="AI62" s="46">
        <f t="shared" si="11"/>
        <v>6242419442</v>
      </c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46"/>
      <c r="AZ62" s="46"/>
    </row>
    <row r="63">
      <c r="A63" s="54">
        <v>14.0</v>
      </c>
      <c r="B63" s="18" t="s">
        <v>126</v>
      </c>
      <c r="C63" s="18" t="s">
        <v>113</v>
      </c>
      <c r="D63" s="92">
        <v>2.0</v>
      </c>
      <c r="E63" s="56"/>
      <c r="F63" s="57"/>
      <c r="G63" s="92">
        <v>1100.0</v>
      </c>
      <c r="H63" s="56"/>
      <c r="I63" s="56"/>
      <c r="J63" s="55">
        <v>4.8E7</v>
      </c>
      <c r="K63" s="55">
        <v>9.9E8</v>
      </c>
      <c r="L63" s="55">
        <v>7.408E7</v>
      </c>
      <c r="M63" s="55">
        <v>9.36E7</v>
      </c>
      <c r="N63" s="55">
        <v>1.86112E9</v>
      </c>
      <c r="O63" s="67">
        <v>2.233344E9</v>
      </c>
      <c r="P63" s="62">
        <f t="shared" si="48"/>
        <v>178005204</v>
      </c>
      <c r="Q63" s="62">
        <f t="shared" si="49"/>
        <v>27091855</v>
      </c>
      <c r="R63" s="65">
        <v>320.0</v>
      </c>
      <c r="S63" s="46">
        <f t="shared" si="3"/>
        <v>1410777059</v>
      </c>
      <c r="T63" s="65">
        <f t="shared" ref="T63:AA63" si="75">($D63/$D$79)*T$9</f>
        <v>98666315.22</v>
      </c>
      <c r="U63" s="65">
        <f t="shared" si="75"/>
        <v>14194826.07</v>
      </c>
      <c r="V63" s="65">
        <f t="shared" si="75"/>
        <v>29669021.89</v>
      </c>
      <c r="W63" s="65">
        <f t="shared" si="75"/>
        <v>26363888.45</v>
      </c>
      <c r="X63" s="65">
        <f t="shared" si="75"/>
        <v>27254489.96</v>
      </c>
      <c r="Y63" s="65">
        <f t="shared" si="75"/>
        <v>18383854.32</v>
      </c>
      <c r="Z63" s="65">
        <f t="shared" si="75"/>
        <v>13584204.48</v>
      </c>
      <c r="AA63" s="65">
        <f t="shared" si="75"/>
        <v>9114936.709</v>
      </c>
      <c r="AB63" s="65">
        <f t="shared" si="51"/>
        <v>211076100.2</v>
      </c>
      <c r="AC63" s="65">
        <f t="shared" ref="AC63:AE63" si="76">($D63/$D$79)*AC$9</f>
        <v>22280207.59</v>
      </c>
      <c r="AD63" s="65">
        <f t="shared" si="76"/>
        <v>19746835.44</v>
      </c>
      <c r="AE63" s="65">
        <f t="shared" si="76"/>
        <v>1690815.544</v>
      </c>
      <c r="AF63" s="65"/>
      <c r="AG63" s="65"/>
      <c r="AH63" s="65"/>
      <c r="AI63" s="46">
        <f t="shared" si="11"/>
        <v>1902802555</v>
      </c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46"/>
      <c r="AZ63" s="46"/>
    </row>
    <row r="64">
      <c r="A64" s="54">
        <v>15.0</v>
      </c>
      <c r="B64" s="18" t="s">
        <v>127</v>
      </c>
      <c r="C64" s="18" t="s">
        <v>113</v>
      </c>
      <c r="D64" s="92">
        <v>2.0</v>
      </c>
      <c r="E64" s="56"/>
      <c r="F64" s="57"/>
      <c r="G64" s="92">
        <v>1600.0</v>
      </c>
      <c r="H64" s="56"/>
      <c r="I64" s="56"/>
      <c r="J64" s="55">
        <v>4.8E7</v>
      </c>
      <c r="K64" s="55">
        <v>1.44E9</v>
      </c>
      <c r="L64" s="55">
        <v>7.408E7</v>
      </c>
      <c r="M64" s="55">
        <v>9.36E7</v>
      </c>
      <c r="N64" s="55">
        <v>8.611199999999999E8</v>
      </c>
      <c r="O64" s="67">
        <v>1.2055679999999998E9</v>
      </c>
      <c r="P64" s="62">
        <f t="shared" si="48"/>
        <v>82361074</v>
      </c>
      <c r="Q64" s="62">
        <f t="shared" si="49"/>
        <v>14624291</v>
      </c>
      <c r="R64" s="65">
        <v>160.0</v>
      </c>
      <c r="S64" s="46">
        <f t="shared" si="3"/>
        <v>1752665365</v>
      </c>
      <c r="T64" s="65">
        <f t="shared" ref="T64:AA64" si="77">($D64/$D$79)*T$9</f>
        <v>98666315.22</v>
      </c>
      <c r="U64" s="65">
        <f t="shared" si="77"/>
        <v>14194826.07</v>
      </c>
      <c r="V64" s="65">
        <f t="shared" si="77"/>
        <v>29669021.89</v>
      </c>
      <c r="W64" s="65">
        <f t="shared" si="77"/>
        <v>26363888.45</v>
      </c>
      <c r="X64" s="65">
        <f t="shared" si="77"/>
        <v>27254489.96</v>
      </c>
      <c r="Y64" s="65">
        <f t="shared" si="77"/>
        <v>18383854.32</v>
      </c>
      <c r="Z64" s="65">
        <f t="shared" si="77"/>
        <v>13584204.48</v>
      </c>
      <c r="AA64" s="65">
        <f t="shared" si="77"/>
        <v>9114936.709</v>
      </c>
      <c r="AB64" s="65">
        <f t="shared" si="51"/>
        <v>105538050.1</v>
      </c>
      <c r="AC64" s="65">
        <f t="shared" ref="AC64:AE64" si="78">($D64/$D$79)*AC$9</f>
        <v>22280207.59</v>
      </c>
      <c r="AD64" s="65">
        <f t="shared" si="78"/>
        <v>19746835.44</v>
      </c>
      <c r="AE64" s="65">
        <f t="shared" si="78"/>
        <v>1690815.544</v>
      </c>
      <c r="AF64" s="65"/>
      <c r="AG64" s="65"/>
      <c r="AH64" s="65"/>
      <c r="AI64" s="46">
        <f t="shared" si="11"/>
        <v>2139152811</v>
      </c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46"/>
      <c r="AZ64" s="46"/>
    </row>
    <row r="65">
      <c r="A65" s="54"/>
      <c r="B65" s="18" t="s">
        <v>78</v>
      </c>
      <c r="C65" s="18"/>
      <c r="D65" s="55"/>
      <c r="E65" s="78"/>
      <c r="F65" s="55"/>
      <c r="G65" s="92"/>
      <c r="H65" s="78"/>
      <c r="I65" s="78"/>
      <c r="J65" s="55"/>
      <c r="K65" s="55"/>
      <c r="L65" s="55"/>
      <c r="M65" s="55">
        <v>0.0</v>
      </c>
      <c r="N65" s="55">
        <v>0.0</v>
      </c>
      <c r="O65" s="67"/>
      <c r="P65" s="62">
        <f t="shared" si="48"/>
        <v>0</v>
      </c>
      <c r="Q65" s="62">
        <f t="shared" si="49"/>
        <v>0</v>
      </c>
      <c r="R65" s="65"/>
      <c r="S65" s="46">
        <f t="shared" si="3"/>
        <v>0</v>
      </c>
      <c r="T65" s="65">
        <f t="shared" ref="T65:AA65" si="79">($D65/$D$79)*T$9</f>
        <v>0</v>
      </c>
      <c r="U65" s="65">
        <f t="shared" si="79"/>
        <v>0</v>
      </c>
      <c r="V65" s="65">
        <f t="shared" si="79"/>
        <v>0</v>
      </c>
      <c r="W65" s="65">
        <f t="shared" si="79"/>
        <v>0</v>
      </c>
      <c r="X65" s="65">
        <f t="shared" si="79"/>
        <v>0</v>
      </c>
      <c r="Y65" s="65">
        <f t="shared" si="79"/>
        <v>0</v>
      </c>
      <c r="Z65" s="65">
        <f t="shared" si="79"/>
        <v>0</v>
      </c>
      <c r="AA65" s="65">
        <f t="shared" si="79"/>
        <v>0</v>
      </c>
      <c r="AB65" s="65">
        <f t="shared" si="51"/>
        <v>0</v>
      </c>
      <c r="AC65" s="65">
        <f t="shared" ref="AC65:AE65" si="80">($D65/$D$79)*AC$9</f>
        <v>0</v>
      </c>
      <c r="AD65" s="65">
        <f t="shared" si="80"/>
        <v>0</v>
      </c>
      <c r="AE65" s="65">
        <f t="shared" si="80"/>
        <v>0</v>
      </c>
      <c r="AF65" s="65"/>
      <c r="AG65" s="65"/>
      <c r="AH65" s="65"/>
      <c r="AI65" s="46">
        <f t="shared" si="11"/>
        <v>0</v>
      </c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46"/>
      <c r="AZ65" s="46"/>
    </row>
    <row r="66">
      <c r="A66" s="98" t="s">
        <v>128</v>
      </c>
      <c r="B66" s="18" t="s">
        <v>129</v>
      </c>
      <c r="C66" s="18" t="s">
        <v>113</v>
      </c>
      <c r="D66" s="55">
        <v>10.0</v>
      </c>
      <c r="E66" s="56"/>
      <c r="F66" s="57"/>
      <c r="G66" s="92">
        <v>960.0</v>
      </c>
      <c r="H66" s="56"/>
      <c r="I66" s="56"/>
      <c r="J66" s="55">
        <v>2.4E8</v>
      </c>
      <c r="K66" s="55"/>
      <c r="L66" s="55">
        <v>5.556E8</v>
      </c>
      <c r="M66" s="55">
        <v>1.185E9</v>
      </c>
      <c r="N66" s="55">
        <v>1.24425E9</v>
      </c>
      <c r="O66" s="67">
        <v>1.74195E9</v>
      </c>
      <c r="P66" s="62">
        <f t="shared" si="48"/>
        <v>119005209</v>
      </c>
      <c r="Q66" s="62">
        <f t="shared" si="49"/>
        <v>21130939</v>
      </c>
      <c r="R66" s="65">
        <v>160.0</v>
      </c>
      <c r="S66" s="46">
        <f t="shared" si="3"/>
        <v>2120736148</v>
      </c>
      <c r="T66" s="65">
        <f t="shared" ref="T66:AA66" si="81">($D66/$D$79)*T$9</f>
        <v>493331576.1</v>
      </c>
      <c r="U66" s="65">
        <f t="shared" si="81"/>
        <v>70974130.33</v>
      </c>
      <c r="V66" s="65">
        <f t="shared" si="81"/>
        <v>148345109.4</v>
      </c>
      <c r="W66" s="65">
        <f t="shared" si="81"/>
        <v>131819442.2</v>
      </c>
      <c r="X66" s="65">
        <f t="shared" si="81"/>
        <v>136272449.8</v>
      </c>
      <c r="Y66" s="65">
        <f t="shared" si="81"/>
        <v>91919271.62</v>
      </c>
      <c r="Z66" s="65">
        <f t="shared" si="81"/>
        <v>67921022.38</v>
      </c>
      <c r="AA66" s="65">
        <f t="shared" si="81"/>
        <v>45574683.54</v>
      </c>
      <c r="AB66" s="65">
        <f t="shared" si="51"/>
        <v>105538050.1</v>
      </c>
      <c r="AC66" s="65">
        <f t="shared" ref="AC66:AE66" si="82">($D66/$D$79)*AC$9</f>
        <v>111401038</v>
      </c>
      <c r="AD66" s="65">
        <f t="shared" si="82"/>
        <v>98734177.22</v>
      </c>
      <c r="AE66" s="65">
        <f t="shared" si="82"/>
        <v>8454077.722</v>
      </c>
      <c r="AF66" s="65"/>
      <c r="AG66" s="65"/>
      <c r="AH66" s="65"/>
      <c r="AI66" s="46">
        <f t="shared" si="11"/>
        <v>3631021176</v>
      </c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46"/>
      <c r="AZ66" s="46"/>
    </row>
    <row r="67">
      <c r="A67" s="98" t="s">
        <v>130</v>
      </c>
      <c r="B67" s="18" t="s">
        <v>131</v>
      </c>
      <c r="C67" s="18" t="s">
        <v>113</v>
      </c>
      <c r="D67" s="55">
        <v>8.0</v>
      </c>
      <c r="E67" s="56"/>
      <c r="F67" s="57"/>
      <c r="G67" s="92">
        <v>1920.0</v>
      </c>
      <c r="H67" s="56"/>
      <c r="I67" s="56"/>
      <c r="J67" s="55">
        <v>1.92E8</v>
      </c>
      <c r="K67" s="55"/>
      <c r="L67" s="55">
        <v>4.4448E8</v>
      </c>
      <c r="M67" s="55">
        <v>1.225E9</v>
      </c>
      <c r="N67" s="55">
        <v>1.28625E9</v>
      </c>
      <c r="O67" s="67">
        <v>1.5435E9</v>
      </c>
      <c r="P67" s="62">
        <f t="shared" si="48"/>
        <v>123022263</v>
      </c>
      <c r="Q67" s="62">
        <f t="shared" si="49"/>
        <v>18723617</v>
      </c>
      <c r="R67" s="65">
        <v>160.0</v>
      </c>
      <c r="S67" s="46">
        <f t="shared" si="3"/>
        <v>2003225880</v>
      </c>
      <c r="T67" s="65">
        <f t="shared" ref="T67:AA67" si="83">($D67/$D$79)*T$9</f>
        <v>394665260.9</v>
      </c>
      <c r="U67" s="65">
        <f t="shared" si="83"/>
        <v>56779304.26</v>
      </c>
      <c r="V67" s="65">
        <f t="shared" si="83"/>
        <v>118676087.6</v>
      </c>
      <c r="W67" s="65">
        <f t="shared" si="83"/>
        <v>105455553.8</v>
      </c>
      <c r="X67" s="65">
        <f t="shared" si="83"/>
        <v>109017959.9</v>
      </c>
      <c r="Y67" s="65">
        <f t="shared" si="83"/>
        <v>73535417.3</v>
      </c>
      <c r="Z67" s="65">
        <f t="shared" si="83"/>
        <v>54336817.9</v>
      </c>
      <c r="AA67" s="65">
        <f t="shared" si="83"/>
        <v>36459746.84</v>
      </c>
      <c r="AB67" s="65">
        <f t="shared" si="51"/>
        <v>105538050.1</v>
      </c>
      <c r="AC67" s="65">
        <f t="shared" ref="AC67:AE67" si="84">($D67/$D$79)*AC$9</f>
        <v>89120830.38</v>
      </c>
      <c r="AD67" s="65">
        <f t="shared" si="84"/>
        <v>78987341.77</v>
      </c>
      <c r="AE67" s="65">
        <f t="shared" si="84"/>
        <v>6763262.177</v>
      </c>
      <c r="AF67" s="65"/>
      <c r="AG67" s="65"/>
      <c r="AH67" s="65"/>
      <c r="AI67" s="46">
        <f t="shared" si="11"/>
        <v>3232561513</v>
      </c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46"/>
      <c r="AZ67" s="46"/>
    </row>
    <row r="68">
      <c r="A68" s="98" t="s">
        <v>132</v>
      </c>
      <c r="B68" s="18" t="s">
        <v>133</v>
      </c>
      <c r="C68" s="18" t="s">
        <v>113</v>
      </c>
      <c r="D68" s="55">
        <v>5.0</v>
      </c>
      <c r="E68" s="56"/>
      <c r="F68" s="57"/>
      <c r="G68" s="99">
        <v>550.0</v>
      </c>
      <c r="H68" s="56"/>
      <c r="I68" s="56"/>
      <c r="J68" s="55">
        <v>1.2E8</v>
      </c>
      <c r="K68" s="55">
        <v>6.18E8</v>
      </c>
      <c r="L68" s="55">
        <v>2.778E8</v>
      </c>
      <c r="M68" s="55">
        <v>1.57E8</v>
      </c>
      <c r="N68" s="55">
        <v>1.0833E9</v>
      </c>
      <c r="O68" s="67">
        <v>1.51662E9</v>
      </c>
      <c r="P68" s="62">
        <f t="shared" si="48"/>
        <v>103611286</v>
      </c>
      <c r="Q68" s="62">
        <f t="shared" si="49"/>
        <v>18397546</v>
      </c>
      <c r="R68" s="65">
        <v>80.0</v>
      </c>
      <c r="S68" s="46">
        <f t="shared" si="3"/>
        <v>1294808832</v>
      </c>
      <c r="T68" s="65">
        <f t="shared" ref="T68:AA68" si="85">($D68/$D$79)*T$9</f>
        <v>246665788</v>
      </c>
      <c r="U68" s="65">
        <f t="shared" si="85"/>
        <v>35487065.16</v>
      </c>
      <c r="V68" s="65">
        <f t="shared" si="85"/>
        <v>74172554.72</v>
      </c>
      <c r="W68" s="65">
        <f t="shared" si="85"/>
        <v>65909721.11</v>
      </c>
      <c r="X68" s="65">
        <f t="shared" si="85"/>
        <v>68136224.91</v>
      </c>
      <c r="Y68" s="65">
        <f t="shared" si="85"/>
        <v>45959635.81</v>
      </c>
      <c r="Z68" s="65">
        <f t="shared" si="85"/>
        <v>33960511.19</v>
      </c>
      <c r="AA68" s="65">
        <f t="shared" si="85"/>
        <v>22787341.77</v>
      </c>
      <c r="AB68" s="65">
        <f t="shared" si="51"/>
        <v>52769025.04</v>
      </c>
      <c r="AC68" s="65">
        <f t="shared" ref="AC68:AE68" si="86">($D68/$D$79)*AC$9</f>
        <v>55700518.99</v>
      </c>
      <c r="AD68" s="65">
        <f t="shared" si="86"/>
        <v>49367088.61</v>
      </c>
      <c r="AE68" s="65">
        <f t="shared" si="86"/>
        <v>4227038.861</v>
      </c>
      <c r="AF68" s="65"/>
      <c r="AG68" s="65"/>
      <c r="AH68" s="65"/>
      <c r="AI68" s="46">
        <f t="shared" si="11"/>
        <v>2049951346</v>
      </c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46"/>
      <c r="AZ68" s="46"/>
    </row>
    <row r="69">
      <c r="A69" s="98" t="s">
        <v>134</v>
      </c>
      <c r="B69" s="18" t="s">
        <v>135</v>
      </c>
      <c r="C69" s="18" t="s">
        <v>113</v>
      </c>
      <c r="D69" s="55">
        <v>4.0</v>
      </c>
      <c r="E69" s="56"/>
      <c r="F69" s="57"/>
      <c r="G69" s="92">
        <v>776.0</v>
      </c>
      <c r="H69" s="56"/>
      <c r="I69" s="56"/>
      <c r="J69" s="55">
        <v>2.4E8</v>
      </c>
      <c r="K69" s="55"/>
      <c r="L69" s="55"/>
      <c r="M69" s="55">
        <v>1.375E8</v>
      </c>
      <c r="N69" s="55">
        <v>1.44375E8</v>
      </c>
      <c r="O69" s="67">
        <v>1.7325E8</v>
      </c>
      <c r="P69" s="62">
        <f t="shared" si="48"/>
        <v>13808621</v>
      </c>
      <c r="Q69" s="62">
        <f t="shared" si="49"/>
        <v>2101630</v>
      </c>
      <c r="R69" s="65">
        <v>64.0</v>
      </c>
      <c r="S69" s="46">
        <f t="shared" si="3"/>
        <v>393410251</v>
      </c>
      <c r="T69" s="65">
        <f t="shared" ref="T69:AA69" si="87">($D69/$D$79)*T$9</f>
        <v>197332630.4</v>
      </c>
      <c r="U69" s="65">
        <f t="shared" si="87"/>
        <v>28389652.13</v>
      </c>
      <c r="V69" s="65">
        <f t="shared" si="87"/>
        <v>59338043.78</v>
      </c>
      <c r="W69" s="65">
        <f t="shared" si="87"/>
        <v>52727776.89</v>
      </c>
      <c r="X69" s="65">
        <f t="shared" si="87"/>
        <v>54508979.93</v>
      </c>
      <c r="Y69" s="65">
        <f t="shared" si="87"/>
        <v>36767708.65</v>
      </c>
      <c r="Z69" s="65">
        <f t="shared" si="87"/>
        <v>27168408.95</v>
      </c>
      <c r="AA69" s="65">
        <f t="shared" si="87"/>
        <v>18229873.42</v>
      </c>
      <c r="AB69" s="65">
        <f t="shared" si="51"/>
        <v>42215220.03</v>
      </c>
      <c r="AC69" s="65">
        <f t="shared" ref="AC69:AE69" si="88">($D69/$D$79)*AC$9</f>
        <v>44560415.19</v>
      </c>
      <c r="AD69" s="65">
        <f t="shared" si="88"/>
        <v>39493670.89</v>
      </c>
      <c r="AE69" s="65">
        <f t="shared" si="88"/>
        <v>3381631.089</v>
      </c>
      <c r="AF69" s="65"/>
      <c r="AG69" s="65"/>
      <c r="AH69" s="65"/>
      <c r="AI69" s="46">
        <f t="shared" si="11"/>
        <v>997524262.4</v>
      </c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46"/>
      <c r="AZ69" s="46"/>
    </row>
    <row r="70">
      <c r="A70" s="98" t="s">
        <v>136</v>
      </c>
      <c r="B70" s="18" t="s">
        <v>137</v>
      </c>
      <c r="C70" s="18" t="s">
        <v>113</v>
      </c>
      <c r="D70" s="55">
        <v>4.0</v>
      </c>
      <c r="E70" s="56"/>
      <c r="F70" s="57"/>
      <c r="G70" s="92">
        <v>880.0</v>
      </c>
      <c r="H70" s="56"/>
      <c r="I70" s="56"/>
      <c r="J70" s="55">
        <v>2.4E8</v>
      </c>
      <c r="K70" s="55"/>
      <c r="L70" s="55"/>
      <c r="M70" s="55">
        <v>2.875E8</v>
      </c>
      <c r="N70" s="55">
        <v>1.98375E9</v>
      </c>
      <c r="O70" s="67">
        <v>2.12E8</v>
      </c>
      <c r="P70" s="62">
        <f t="shared" si="48"/>
        <v>189734044</v>
      </c>
      <c r="Q70" s="62">
        <f t="shared" si="49"/>
        <v>2571692</v>
      </c>
      <c r="R70" s="65">
        <v>78.0</v>
      </c>
      <c r="S70" s="46">
        <f t="shared" si="3"/>
        <v>719805736</v>
      </c>
      <c r="T70" s="65">
        <f t="shared" ref="T70:AA70" si="89">($D70/$D$79)*T$9</f>
        <v>197332630.4</v>
      </c>
      <c r="U70" s="65">
        <f t="shared" si="89"/>
        <v>28389652.13</v>
      </c>
      <c r="V70" s="65">
        <f t="shared" si="89"/>
        <v>59338043.78</v>
      </c>
      <c r="W70" s="65">
        <f t="shared" si="89"/>
        <v>52727776.89</v>
      </c>
      <c r="X70" s="65">
        <f t="shared" si="89"/>
        <v>54508979.93</v>
      </c>
      <c r="Y70" s="65">
        <f t="shared" si="89"/>
        <v>36767708.65</v>
      </c>
      <c r="Z70" s="65">
        <f t="shared" si="89"/>
        <v>27168408.95</v>
      </c>
      <c r="AA70" s="65">
        <f t="shared" si="89"/>
        <v>18229873.42</v>
      </c>
      <c r="AB70" s="65">
        <f t="shared" si="51"/>
        <v>51449799.41</v>
      </c>
      <c r="AC70" s="65">
        <f t="shared" ref="AC70:AE70" si="90">($D70/$D$79)*AC$9</f>
        <v>44560415.19</v>
      </c>
      <c r="AD70" s="65">
        <f t="shared" si="90"/>
        <v>39493670.89</v>
      </c>
      <c r="AE70" s="65">
        <f t="shared" si="90"/>
        <v>3381631.089</v>
      </c>
      <c r="AF70" s="65"/>
      <c r="AG70" s="65"/>
      <c r="AH70" s="65"/>
      <c r="AI70" s="46">
        <f t="shared" si="11"/>
        <v>1333154327</v>
      </c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46"/>
      <c r="AZ70" s="46"/>
    </row>
    <row r="71">
      <c r="A71" s="98" t="s">
        <v>138</v>
      </c>
      <c r="B71" s="18" t="s">
        <v>139</v>
      </c>
      <c r="C71" s="18" t="s">
        <v>113</v>
      </c>
      <c r="D71" s="55">
        <v>3.0</v>
      </c>
      <c r="E71" s="56"/>
      <c r="F71" s="57"/>
      <c r="G71" s="92">
        <v>1565.0</v>
      </c>
      <c r="H71" s="56"/>
      <c r="I71" s="56"/>
      <c r="J71" s="55">
        <v>7.2E7</v>
      </c>
      <c r="K71" s="55">
        <v>1.17375E9</v>
      </c>
      <c r="L71" s="55">
        <v>1.1112E8</v>
      </c>
      <c r="M71" s="55">
        <v>1.56E8</v>
      </c>
      <c r="N71" s="55">
        <v>1.4352E9</v>
      </c>
      <c r="O71" s="67">
        <v>2.0092799999999998E9</v>
      </c>
      <c r="P71" s="62">
        <f t="shared" si="48"/>
        <v>137268456</v>
      </c>
      <c r="Q71" s="62">
        <f t="shared" si="49"/>
        <v>24373819</v>
      </c>
      <c r="R71" s="65">
        <v>80.0</v>
      </c>
      <c r="S71" s="46">
        <f t="shared" si="3"/>
        <v>1674512275</v>
      </c>
      <c r="T71" s="65">
        <f t="shared" ref="T71:AA71" si="91">($D71/$D$79)*T$9</f>
        <v>147999472.8</v>
      </c>
      <c r="U71" s="65">
        <f t="shared" si="91"/>
        <v>21292239.1</v>
      </c>
      <c r="V71" s="65">
        <f t="shared" si="91"/>
        <v>44503532.83</v>
      </c>
      <c r="W71" s="65">
        <f t="shared" si="91"/>
        <v>39545832.67</v>
      </c>
      <c r="X71" s="65">
        <f t="shared" si="91"/>
        <v>40881734.95</v>
      </c>
      <c r="Y71" s="65">
        <f t="shared" si="91"/>
        <v>27575781.49</v>
      </c>
      <c r="Z71" s="65">
        <f t="shared" si="91"/>
        <v>20376306.71</v>
      </c>
      <c r="AA71" s="65">
        <f t="shared" si="91"/>
        <v>13672405.06</v>
      </c>
      <c r="AB71" s="65">
        <f t="shared" si="51"/>
        <v>52769025.04</v>
      </c>
      <c r="AC71" s="65">
        <f t="shared" ref="AC71:AE71" si="92">($D71/$D$79)*AC$9</f>
        <v>33420311.39</v>
      </c>
      <c r="AD71" s="65">
        <f t="shared" si="92"/>
        <v>29620253.16</v>
      </c>
      <c r="AE71" s="65">
        <f t="shared" si="92"/>
        <v>2536223.316</v>
      </c>
      <c r="AF71" s="65"/>
      <c r="AG71" s="65"/>
      <c r="AH71" s="65"/>
      <c r="AI71" s="46">
        <f t="shared" si="11"/>
        <v>2148705394</v>
      </c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46"/>
      <c r="AZ71" s="46"/>
    </row>
    <row r="72">
      <c r="A72" s="98" t="s">
        <v>140</v>
      </c>
      <c r="B72" s="18" t="s">
        <v>141</v>
      </c>
      <c r="C72" s="18" t="s">
        <v>113</v>
      </c>
      <c r="D72" s="55">
        <v>3.0</v>
      </c>
      <c r="E72" s="56"/>
      <c r="F72" s="57"/>
      <c r="G72" s="92">
        <v>1023.0</v>
      </c>
      <c r="H72" s="56"/>
      <c r="I72" s="56"/>
      <c r="J72" s="55">
        <v>7.2E7</v>
      </c>
      <c r="K72" s="55">
        <v>7.6725E8</v>
      </c>
      <c r="L72" s="55">
        <v>1.1112E8</v>
      </c>
      <c r="M72" s="55">
        <v>1.56E8</v>
      </c>
      <c r="N72" s="55">
        <v>4.352E8</v>
      </c>
      <c r="O72" s="67">
        <v>5.2224E8</v>
      </c>
      <c r="P72" s="62">
        <f t="shared" si="48"/>
        <v>41624326</v>
      </c>
      <c r="Q72" s="62">
        <f t="shared" si="49"/>
        <v>6335097</v>
      </c>
      <c r="R72" s="65"/>
      <c r="S72" s="46">
        <f t="shared" si="3"/>
        <v>1154329423</v>
      </c>
      <c r="T72" s="65">
        <f t="shared" ref="T72:AA72" si="93">($D72/$D$79)*T$9</f>
        <v>147999472.8</v>
      </c>
      <c r="U72" s="65">
        <f t="shared" si="93"/>
        <v>21292239.1</v>
      </c>
      <c r="V72" s="65">
        <f t="shared" si="93"/>
        <v>44503532.83</v>
      </c>
      <c r="W72" s="65">
        <f t="shared" si="93"/>
        <v>39545832.67</v>
      </c>
      <c r="X72" s="65">
        <f t="shared" si="93"/>
        <v>40881734.95</v>
      </c>
      <c r="Y72" s="65">
        <f t="shared" si="93"/>
        <v>27575781.49</v>
      </c>
      <c r="Z72" s="65">
        <f t="shared" si="93"/>
        <v>20376306.71</v>
      </c>
      <c r="AA72" s="65">
        <f t="shared" si="93"/>
        <v>13672405.06</v>
      </c>
      <c r="AB72" s="65">
        <f t="shared" si="51"/>
        <v>0</v>
      </c>
      <c r="AC72" s="65">
        <f t="shared" ref="AC72:AE72" si="94">($D72/$D$79)*AC$9</f>
        <v>33420311.39</v>
      </c>
      <c r="AD72" s="65">
        <f t="shared" si="94"/>
        <v>29620253.16</v>
      </c>
      <c r="AE72" s="65">
        <f t="shared" si="94"/>
        <v>2536223.316</v>
      </c>
      <c r="AF72" s="65"/>
      <c r="AG72" s="65"/>
      <c r="AH72" s="65"/>
      <c r="AI72" s="46">
        <f t="shared" si="11"/>
        <v>1575753517</v>
      </c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46"/>
      <c r="AZ72" s="46"/>
    </row>
    <row r="73">
      <c r="A73" s="54"/>
      <c r="B73" s="18"/>
      <c r="C73" s="18"/>
      <c r="D73" s="55"/>
      <c r="E73" s="78"/>
      <c r="F73" s="55"/>
      <c r="G73" s="76"/>
      <c r="H73" s="78"/>
      <c r="I73" s="78"/>
      <c r="J73" s="76"/>
      <c r="K73" s="76"/>
      <c r="L73" s="76"/>
      <c r="M73" s="76"/>
      <c r="N73" s="76"/>
      <c r="O73" s="76"/>
      <c r="P73" s="79"/>
      <c r="Q73" s="79"/>
      <c r="R73" s="65"/>
      <c r="S73" s="46"/>
      <c r="T73" s="65"/>
      <c r="U73" s="65"/>
      <c r="V73" s="65"/>
      <c r="W73" s="65"/>
      <c r="X73" s="65"/>
      <c r="Y73" s="65"/>
      <c r="Z73" s="65"/>
      <c r="AA73" s="65"/>
      <c r="AB73" s="65"/>
      <c r="AC73" s="65"/>
      <c r="AD73" s="65"/>
      <c r="AE73" s="65"/>
      <c r="AF73" s="65"/>
      <c r="AG73" s="65"/>
      <c r="AH73" s="65"/>
      <c r="AI73" s="46">
        <f t="shared" si="11"/>
        <v>0</v>
      </c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46"/>
      <c r="AZ73" s="46"/>
    </row>
    <row r="74">
      <c r="A74" s="100"/>
      <c r="B74" s="101" t="s">
        <v>142</v>
      </c>
      <c r="C74" s="101"/>
      <c r="D74" s="102">
        <f t="shared" ref="D74:R74" si="95">SUM(D10:D72)</f>
        <v>760</v>
      </c>
      <c r="E74" s="102">
        <f t="shared" si="95"/>
        <v>118330</v>
      </c>
      <c r="F74" s="102">
        <f t="shared" si="95"/>
        <v>22160</v>
      </c>
      <c r="G74" s="102">
        <f t="shared" si="95"/>
        <v>109128.4</v>
      </c>
      <c r="H74" s="102">
        <f t="shared" si="95"/>
        <v>27.61285962</v>
      </c>
      <c r="I74" s="102">
        <f t="shared" si="95"/>
        <v>385</v>
      </c>
      <c r="J74" s="102">
        <f t="shared" si="95"/>
        <v>42039000000</v>
      </c>
      <c r="K74" s="102">
        <f t="shared" si="95"/>
        <v>80028600000</v>
      </c>
      <c r="L74" s="102">
        <f t="shared" si="95"/>
        <v>18617840000</v>
      </c>
      <c r="M74" s="102">
        <f t="shared" si="95"/>
        <v>146504941580</v>
      </c>
      <c r="N74" s="102">
        <f t="shared" si="95"/>
        <v>200284345000</v>
      </c>
      <c r="O74" s="102">
        <f t="shared" si="95"/>
        <v>379165944000</v>
      </c>
      <c r="P74" s="102">
        <f t="shared" si="95"/>
        <v>19156022005</v>
      </c>
      <c r="Q74" s="102">
        <f t="shared" si="95"/>
        <v>4599519254</v>
      </c>
      <c r="R74" s="102">
        <f t="shared" si="95"/>
        <v>19954</v>
      </c>
      <c r="S74" s="103">
        <f>ROUND(SUM(S10:S72),0)</f>
        <v>310945922839</v>
      </c>
      <c r="T74" s="102">
        <f t="shared" ref="T74:AE74" si="96">sum(T25:T72)</f>
        <v>19486597255</v>
      </c>
      <c r="U74" s="102">
        <f t="shared" si="96"/>
        <v>2803478148</v>
      </c>
      <c r="V74" s="102">
        <f t="shared" si="96"/>
        <v>5859631823</v>
      </c>
      <c r="W74" s="102">
        <f t="shared" si="96"/>
        <v>5206867968</v>
      </c>
      <c r="X74" s="102">
        <f t="shared" si="96"/>
        <v>5382761768</v>
      </c>
      <c r="Y74" s="102">
        <f t="shared" si="96"/>
        <v>3630811229</v>
      </c>
      <c r="Z74" s="102">
        <f t="shared" si="96"/>
        <v>2682880384</v>
      </c>
      <c r="AA74" s="102">
        <f t="shared" si="96"/>
        <v>1800200000</v>
      </c>
      <c r="AB74" s="102">
        <f t="shared" si="96"/>
        <v>10800500200</v>
      </c>
      <c r="AC74" s="102">
        <f t="shared" si="96"/>
        <v>4400341000</v>
      </c>
      <c r="AD74" s="102">
        <f t="shared" si="96"/>
        <v>3900000000</v>
      </c>
      <c r="AE74" s="102">
        <f t="shared" si="96"/>
        <v>333936070</v>
      </c>
      <c r="AF74" s="102"/>
      <c r="AG74" s="102"/>
      <c r="AH74" s="102"/>
      <c r="AI74" s="103">
        <f>SUM(AI25:AI72)</f>
        <v>310945922839</v>
      </c>
      <c r="AJ74" s="102"/>
      <c r="AK74" s="102"/>
      <c r="AL74" s="102"/>
      <c r="AM74" s="102"/>
      <c r="AN74" s="102"/>
      <c r="AO74" s="102"/>
      <c r="AP74" s="102"/>
      <c r="AQ74" s="102"/>
      <c r="AR74" s="102"/>
      <c r="AS74" s="102"/>
      <c r="AT74" s="102"/>
      <c r="AU74" s="102"/>
      <c r="AV74" s="102"/>
      <c r="AW74" s="102"/>
      <c r="AX74" s="102"/>
      <c r="AY74" s="46"/>
      <c r="AZ74" s="46"/>
    </row>
    <row r="75">
      <c r="A75" s="8"/>
      <c r="B75" s="104"/>
      <c r="C75" s="104"/>
      <c r="D75" s="105"/>
      <c r="E75" s="4"/>
      <c r="F75" s="5"/>
      <c r="G75" s="6"/>
      <c r="H75" s="4"/>
      <c r="I75" s="7"/>
      <c r="J75" s="6"/>
      <c r="K75" s="6"/>
      <c r="L75" s="6"/>
      <c r="M75" s="6"/>
      <c r="N75" s="6"/>
      <c r="O75" s="6"/>
      <c r="P75" s="107">
        <v>9.578011E10</v>
      </c>
      <c r="Q75" s="107">
        <v>1.8398077012E11</v>
      </c>
      <c r="R75" s="2"/>
      <c r="S75" s="2"/>
      <c r="T75" s="70">
        <f t="shared" ref="T75:AE75" si="97">T9-T74</f>
        <v>0.000003814697266</v>
      </c>
      <c r="U75" s="70">
        <f t="shared" si="97"/>
        <v>-0.000001430511475</v>
      </c>
      <c r="V75" s="70">
        <f t="shared" si="97"/>
        <v>0</v>
      </c>
      <c r="W75" s="70">
        <f t="shared" si="97"/>
        <v>0.000001907348633</v>
      </c>
      <c r="X75" s="70">
        <f t="shared" si="97"/>
        <v>0</v>
      </c>
      <c r="Y75" s="70">
        <f t="shared" si="97"/>
        <v>0</v>
      </c>
      <c r="Z75" s="70">
        <f t="shared" si="97"/>
        <v>0.000001907348633</v>
      </c>
      <c r="AA75" s="70">
        <f t="shared" si="97"/>
        <v>-0.0000004768371582</v>
      </c>
      <c r="AB75" s="70">
        <f t="shared" si="97"/>
        <v>0</v>
      </c>
      <c r="AC75" s="70">
        <f t="shared" si="97"/>
        <v>-0.0000009536743164</v>
      </c>
      <c r="AD75" s="70">
        <f t="shared" si="97"/>
        <v>-0.0000009536743164</v>
      </c>
      <c r="AE75" s="70">
        <f t="shared" si="97"/>
        <v>-0.0000001788139343</v>
      </c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>
      <c r="A76" s="8"/>
      <c r="B76" s="104"/>
      <c r="C76" s="104"/>
      <c r="D76" s="105"/>
      <c r="E76" s="4"/>
      <c r="F76" s="5"/>
      <c r="G76" s="6"/>
      <c r="H76" s="4"/>
      <c r="I76" s="7"/>
      <c r="J76" s="6"/>
      <c r="K76" s="6"/>
      <c r="L76" s="6"/>
      <c r="M76" s="6"/>
      <c r="N76" s="6"/>
      <c r="O76" s="6"/>
      <c r="P76" s="8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>
      <c r="A77" s="8"/>
      <c r="B77" s="104"/>
      <c r="C77" s="108" t="s">
        <v>144</v>
      </c>
      <c r="D77" s="109">
        <f t="shared" ref="D77:R77" si="98">D74</f>
        <v>760</v>
      </c>
      <c r="E77" s="109">
        <f t="shared" si="98"/>
        <v>118330</v>
      </c>
      <c r="F77" s="109">
        <f t="shared" si="98"/>
        <v>22160</v>
      </c>
      <c r="G77" s="109">
        <f t="shared" si="98"/>
        <v>109128.4</v>
      </c>
      <c r="H77" s="109">
        <f t="shared" si="98"/>
        <v>27.61285962</v>
      </c>
      <c r="I77" s="109">
        <f t="shared" si="98"/>
        <v>385</v>
      </c>
      <c r="J77" s="109">
        <f t="shared" si="98"/>
        <v>42039000000</v>
      </c>
      <c r="K77" s="109">
        <f t="shared" si="98"/>
        <v>80028600000</v>
      </c>
      <c r="L77" s="109">
        <f t="shared" si="98"/>
        <v>18617840000</v>
      </c>
      <c r="M77" s="109">
        <f t="shared" si="98"/>
        <v>146504941580</v>
      </c>
      <c r="N77" s="109">
        <f t="shared" si="98"/>
        <v>200284345000</v>
      </c>
      <c r="O77" s="109">
        <f t="shared" si="98"/>
        <v>379165944000</v>
      </c>
      <c r="P77" s="109">
        <f t="shared" si="98"/>
        <v>19156022005</v>
      </c>
      <c r="Q77" s="109">
        <f t="shared" si="98"/>
        <v>4599519254</v>
      </c>
      <c r="R77" s="109">
        <f t="shared" si="98"/>
        <v>19954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>
      <c r="A78" s="8"/>
      <c r="B78" s="104"/>
      <c r="C78" s="110" t="s">
        <v>145</v>
      </c>
      <c r="D78" s="111">
        <f t="shared" ref="D78:F78" si="99">sum(D10:D22)</f>
        <v>365</v>
      </c>
      <c r="E78" s="111">
        <f t="shared" si="99"/>
        <v>0</v>
      </c>
      <c r="F78" s="111">
        <f t="shared" si="99"/>
        <v>0</v>
      </c>
      <c r="G78" s="111">
        <f>sum(G26:G30)</f>
        <v>13250.4</v>
      </c>
      <c r="H78" s="111">
        <f t="shared" ref="H78:R78" si="100">sum(H10:H22)</f>
        <v>0</v>
      </c>
      <c r="I78" s="111">
        <f t="shared" si="100"/>
        <v>0</v>
      </c>
      <c r="J78" s="111">
        <f t="shared" si="100"/>
        <v>30444000000</v>
      </c>
      <c r="K78" s="111">
        <f t="shared" si="100"/>
        <v>0</v>
      </c>
      <c r="L78" s="111">
        <f t="shared" si="100"/>
        <v>0</v>
      </c>
      <c r="M78" s="111">
        <f t="shared" si="100"/>
        <v>32644041200</v>
      </c>
      <c r="N78" s="111">
        <f t="shared" si="100"/>
        <v>27580400000</v>
      </c>
      <c r="O78" s="111">
        <f t="shared" si="100"/>
        <v>46334080000</v>
      </c>
      <c r="P78" s="111">
        <f t="shared" si="100"/>
        <v>2637903373</v>
      </c>
      <c r="Q78" s="111">
        <f t="shared" si="100"/>
        <v>562061272</v>
      </c>
      <c r="R78" s="111">
        <f t="shared" si="100"/>
        <v>3580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>
      <c r="A79" s="8"/>
      <c r="B79" s="104"/>
      <c r="C79" s="110" t="s">
        <v>146</v>
      </c>
      <c r="D79" s="111">
        <f t="shared" ref="D79:R79" si="101">D77-D78</f>
        <v>395</v>
      </c>
      <c r="E79" s="111">
        <f t="shared" si="101"/>
        <v>118330</v>
      </c>
      <c r="F79" s="111">
        <f t="shared" si="101"/>
        <v>22160</v>
      </c>
      <c r="G79" s="111">
        <f t="shared" si="101"/>
        <v>95878</v>
      </c>
      <c r="H79" s="111">
        <f t="shared" si="101"/>
        <v>27.61285962</v>
      </c>
      <c r="I79" s="111">
        <f t="shared" si="101"/>
        <v>385</v>
      </c>
      <c r="J79" s="111">
        <f t="shared" si="101"/>
        <v>11595000000</v>
      </c>
      <c r="K79" s="111">
        <f t="shared" si="101"/>
        <v>80028600000</v>
      </c>
      <c r="L79" s="111">
        <f t="shared" si="101"/>
        <v>18617840000</v>
      </c>
      <c r="M79" s="111">
        <f t="shared" si="101"/>
        <v>113860900380</v>
      </c>
      <c r="N79" s="111">
        <f t="shared" si="101"/>
        <v>172703945000</v>
      </c>
      <c r="O79" s="111">
        <f t="shared" si="101"/>
        <v>332831864000</v>
      </c>
      <c r="P79" s="111">
        <f t="shared" si="101"/>
        <v>16518118632</v>
      </c>
      <c r="Q79" s="111">
        <f t="shared" si="101"/>
        <v>4037457982</v>
      </c>
      <c r="R79" s="111">
        <f t="shared" si="101"/>
        <v>16374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>
      <c r="A80" s="8"/>
      <c r="B80" s="104"/>
      <c r="C80" s="104"/>
      <c r="D80" s="105"/>
      <c r="E80" s="4"/>
      <c r="F80" s="5"/>
      <c r="G80" s="6"/>
      <c r="H80" s="4"/>
      <c r="I80" s="7"/>
      <c r="J80" s="6"/>
      <c r="K80" s="6"/>
      <c r="L80" s="6"/>
      <c r="M80" s="6"/>
      <c r="N80" s="6"/>
      <c r="O80" s="6"/>
      <c r="P80" s="8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>
      <c r="A81" s="8"/>
      <c r="B81" s="104"/>
      <c r="C81" s="104"/>
      <c r="D81" s="105"/>
      <c r="E81" s="4"/>
      <c r="F81" s="5"/>
      <c r="G81" s="6"/>
      <c r="H81" s="4"/>
      <c r="I81" s="7"/>
      <c r="J81" s="6"/>
      <c r="K81" s="6"/>
      <c r="L81" s="6"/>
      <c r="M81" s="6"/>
      <c r="N81" s="6"/>
      <c r="O81" s="6"/>
      <c r="P81" s="8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>
      <c r="A82" s="8"/>
      <c r="B82" s="104"/>
      <c r="C82" s="104"/>
      <c r="D82" s="105"/>
      <c r="E82" s="4"/>
      <c r="F82" s="5"/>
      <c r="G82" s="6"/>
      <c r="H82" s="4"/>
      <c r="I82" s="7"/>
      <c r="J82" s="6"/>
      <c r="K82" s="6"/>
      <c r="L82" s="6"/>
      <c r="M82" s="6"/>
      <c r="N82" s="6"/>
      <c r="O82" s="6"/>
      <c r="P82" s="8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>
      <c r="A83" s="8"/>
      <c r="B83" s="104"/>
      <c r="C83" s="104"/>
      <c r="D83" s="105"/>
      <c r="E83" s="4"/>
      <c r="F83" s="5"/>
      <c r="G83" s="6"/>
      <c r="H83" s="4"/>
      <c r="I83" s="7"/>
      <c r="J83" s="6"/>
      <c r="K83" s="6"/>
      <c r="L83" s="6"/>
      <c r="M83" s="6"/>
      <c r="N83" s="6"/>
      <c r="O83" s="6"/>
      <c r="P83" s="8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>
      <c r="A84" s="8"/>
      <c r="B84" s="104"/>
      <c r="C84" s="104"/>
      <c r="D84" s="105"/>
      <c r="E84" s="4"/>
      <c r="F84" s="5"/>
      <c r="G84" s="6"/>
      <c r="H84" s="4"/>
      <c r="I84" s="7"/>
      <c r="J84" s="6"/>
      <c r="K84" s="6"/>
      <c r="L84" s="6"/>
      <c r="M84" s="6"/>
      <c r="N84" s="6"/>
      <c r="O84" s="6"/>
      <c r="P84" s="8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>
      <c r="A85" s="8"/>
      <c r="B85" s="104"/>
      <c r="C85" s="104"/>
      <c r="D85" s="105"/>
      <c r="E85" s="4"/>
      <c r="F85" s="5"/>
      <c r="G85" s="6"/>
      <c r="H85" s="4"/>
      <c r="I85" s="7"/>
      <c r="J85" s="6"/>
      <c r="K85" s="6"/>
      <c r="L85" s="6"/>
      <c r="M85" s="6"/>
      <c r="N85" s="6"/>
      <c r="O85" s="6"/>
      <c r="P85" s="8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>
      <c r="A86" s="8"/>
      <c r="B86" s="104"/>
      <c r="C86" s="104"/>
      <c r="D86" s="105"/>
      <c r="E86" s="4"/>
      <c r="F86" s="5"/>
      <c r="G86" s="6"/>
      <c r="H86" s="4"/>
      <c r="I86" s="7"/>
      <c r="J86" s="6"/>
      <c r="K86" s="6"/>
      <c r="L86" s="6"/>
      <c r="M86" s="6"/>
      <c r="N86" s="6"/>
      <c r="O86" s="6"/>
      <c r="P86" s="8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>
      <c r="A87" s="8"/>
      <c r="B87" s="104"/>
      <c r="C87" s="104"/>
      <c r="D87" s="105"/>
      <c r="E87" s="4"/>
      <c r="F87" s="5"/>
      <c r="G87" s="6"/>
      <c r="H87" s="4"/>
      <c r="I87" s="7"/>
      <c r="J87" s="6"/>
      <c r="K87" s="6"/>
      <c r="L87" s="6"/>
      <c r="M87" s="6"/>
      <c r="N87" s="6"/>
      <c r="O87" s="6"/>
      <c r="P87" s="8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>
      <c r="A88" s="8"/>
      <c r="B88" s="104"/>
      <c r="C88" s="104"/>
      <c r="D88" s="105"/>
      <c r="E88" s="4"/>
      <c r="F88" s="5"/>
      <c r="G88" s="6"/>
      <c r="H88" s="4"/>
      <c r="I88" s="7"/>
      <c r="J88" s="6"/>
      <c r="K88" s="6"/>
      <c r="L88" s="6"/>
      <c r="M88" s="6"/>
      <c r="N88" s="6"/>
      <c r="O88" s="6"/>
      <c r="P88" s="8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>
      <c r="A89" s="8"/>
      <c r="B89" s="104"/>
      <c r="C89" s="104"/>
      <c r="D89" s="105"/>
      <c r="E89" s="4"/>
      <c r="F89" s="5"/>
      <c r="G89" s="6"/>
      <c r="H89" s="4"/>
      <c r="I89" s="7"/>
      <c r="J89" s="6"/>
      <c r="K89" s="6"/>
      <c r="L89" s="6"/>
      <c r="M89" s="6"/>
      <c r="N89" s="6"/>
      <c r="O89" s="6"/>
      <c r="P89" s="8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>
      <c r="A90" s="8"/>
      <c r="B90" s="104"/>
      <c r="C90" s="104"/>
      <c r="D90" s="105"/>
      <c r="E90" s="4"/>
      <c r="F90" s="5"/>
      <c r="G90" s="6"/>
      <c r="H90" s="4"/>
      <c r="I90" s="7"/>
      <c r="J90" s="6"/>
      <c r="K90" s="6"/>
      <c r="L90" s="6"/>
      <c r="M90" s="6"/>
      <c r="N90" s="6"/>
      <c r="O90" s="6"/>
      <c r="P90" s="8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>
      <c r="A91" s="8"/>
      <c r="B91" s="104"/>
      <c r="C91" s="104"/>
      <c r="D91" s="105"/>
      <c r="E91" s="4"/>
      <c r="F91" s="5"/>
      <c r="G91" s="6"/>
      <c r="H91" s="4"/>
      <c r="I91" s="7"/>
      <c r="J91" s="6"/>
      <c r="K91" s="6"/>
      <c r="L91" s="6"/>
      <c r="M91" s="6"/>
      <c r="N91" s="6"/>
      <c r="O91" s="6"/>
      <c r="P91" s="8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>
      <c r="A92" s="8"/>
      <c r="B92" s="104"/>
      <c r="C92" s="104"/>
      <c r="D92" s="105"/>
      <c r="E92" s="4"/>
      <c r="F92" s="5"/>
      <c r="G92" s="6"/>
      <c r="H92" s="4"/>
      <c r="I92" s="7"/>
      <c r="J92" s="6"/>
      <c r="K92" s="6"/>
      <c r="L92" s="6"/>
      <c r="M92" s="6"/>
      <c r="N92" s="6"/>
      <c r="O92" s="6"/>
      <c r="P92" s="8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>
      <c r="A93" s="8"/>
      <c r="B93" s="104"/>
      <c r="C93" s="104"/>
      <c r="D93" s="105"/>
      <c r="E93" s="4"/>
      <c r="F93" s="5"/>
      <c r="G93" s="6"/>
      <c r="H93" s="4"/>
      <c r="I93" s="7"/>
      <c r="J93" s="6"/>
      <c r="K93" s="6"/>
      <c r="L93" s="6"/>
      <c r="M93" s="6"/>
      <c r="N93" s="6"/>
      <c r="O93" s="6"/>
      <c r="P93" s="8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>
      <c r="A94" s="8"/>
      <c r="B94" s="104"/>
      <c r="C94" s="104"/>
      <c r="D94" s="105"/>
      <c r="E94" s="4"/>
      <c r="F94" s="5"/>
      <c r="G94" s="6"/>
      <c r="H94" s="4"/>
      <c r="I94" s="7"/>
      <c r="J94" s="6"/>
      <c r="K94" s="6"/>
      <c r="L94" s="6"/>
      <c r="M94" s="6"/>
      <c r="N94" s="6"/>
      <c r="O94" s="6"/>
      <c r="P94" s="8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>
      <c r="A95" s="8"/>
      <c r="B95" s="104"/>
      <c r="C95" s="104"/>
      <c r="D95" s="105"/>
      <c r="E95" s="4"/>
      <c r="F95" s="5"/>
      <c r="G95" s="6"/>
      <c r="H95" s="4"/>
      <c r="I95" s="7"/>
      <c r="J95" s="6"/>
      <c r="K95" s="6"/>
      <c r="L95" s="6"/>
      <c r="M95" s="6"/>
      <c r="N95" s="6"/>
      <c r="O95" s="6"/>
      <c r="P95" s="8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>
      <c r="A96" s="8"/>
      <c r="B96" s="104"/>
      <c r="C96" s="104"/>
      <c r="D96" s="105"/>
      <c r="E96" s="4"/>
      <c r="F96" s="5"/>
      <c r="G96" s="6"/>
      <c r="H96" s="4"/>
      <c r="I96" s="7"/>
      <c r="J96" s="6"/>
      <c r="K96" s="6"/>
      <c r="L96" s="6"/>
      <c r="M96" s="6"/>
      <c r="N96" s="6"/>
      <c r="O96" s="6"/>
      <c r="P96" s="8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>
      <c r="A97" s="8"/>
      <c r="B97" s="104"/>
      <c r="C97" s="104"/>
      <c r="D97" s="105"/>
      <c r="E97" s="4"/>
      <c r="F97" s="5"/>
      <c r="G97" s="6"/>
      <c r="H97" s="4"/>
      <c r="I97" s="7"/>
      <c r="J97" s="6"/>
      <c r="K97" s="6"/>
      <c r="L97" s="6"/>
      <c r="M97" s="6"/>
      <c r="N97" s="6"/>
      <c r="O97" s="6"/>
      <c r="P97" s="8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>
      <c r="A98" s="8"/>
      <c r="B98" s="104"/>
      <c r="C98" s="104"/>
      <c r="D98" s="105"/>
      <c r="E98" s="4"/>
      <c r="F98" s="5"/>
      <c r="G98" s="6"/>
      <c r="H98" s="4"/>
      <c r="I98" s="7"/>
      <c r="J98" s="6"/>
      <c r="K98" s="6"/>
      <c r="L98" s="6"/>
      <c r="M98" s="6"/>
      <c r="N98" s="6"/>
      <c r="O98" s="6"/>
      <c r="P98" s="8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>
      <c r="A99" s="8"/>
      <c r="B99" s="104"/>
      <c r="C99" s="104"/>
      <c r="D99" s="105"/>
      <c r="E99" s="4"/>
      <c r="F99" s="5"/>
      <c r="G99" s="6"/>
      <c r="H99" s="4"/>
      <c r="I99" s="7"/>
      <c r="J99" s="6"/>
      <c r="K99" s="6"/>
      <c r="L99" s="6"/>
      <c r="M99" s="6"/>
      <c r="N99" s="6"/>
      <c r="O99" s="6"/>
      <c r="P99" s="8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>
      <c r="A100" s="8"/>
      <c r="B100" s="104"/>
      <c r="C100" s="104"/>
      <c r="D100" s="105"/>
      <c r="E100" s="4"/>
      <c r="F100" s="5"/>
      <c r="G100" s="6"/>
      <c r="H100" s="4"/>
      <c r="I100" s="7"/>
      <c r="J100" s="6"/>
      <c r="K100" s="6"/>
      <c r="L100" s="6"/>
      <c r="M100" s="6"/>
      <c r="N100" s="6"/>
      <c r="O100" s="6"/>
      <c r="P100" s="8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>
      <c r="A101" s="8"/>
      <c r="B101" s="104"/>
      <c r="C101" s="104"/>
      <c r="D101" s="105"/>
      <c r="E101" s="4"/>
      <c r="F101" s="5"/>
      <c r="G101" s="6"/>
      <c r="H101" s="4"/>
      <c r="I101" s="7"/>
      <c r="J101" s="6"/>
      <c r="K101" s="6"/>
      <c r="L101" s="6"/>
      <c r="M101" s="6"/>
      <c r="N101" s="6"/>
      <c r="O101" s="6"/>
      <c r="P101" s="8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>
      <c r="A102" s="8"/>
      <c r="B102" s="104"/>
      <c r="C102" s="104"/>
      <c r="D102" s="105"/>
      <c r="E102" s="4"/>
      <c r="F102" s="5"/>
      <c r="G102" s="6"/>
      <c r="H102" s="4"/>
      <c r="I102" s="7"/>
      <c r="J102" s="6"/>
      <c r="K102" s="6"/>
      <c r="L102" s="6"/>
      <c r="M102" s="6"/>
      <c r="N102" s="6"/>
      <c r="O102" s="6"/>
      <c r="P102" s="8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>
      <c r="A103" s="8"/>
      <c r="B103" s="104"/>
      <c r="C103" s="104"/>
      <c r="D103" s="105"/>
      <c r="E103" s="4"/>
      <c r="F103" s="5"/>
      <c r="G103" s="6"/>
      <c r="H103" s="4"/>
      <c r="I103" s="7"/>
      <c r="J103" s="6"/>
      <c r="K103" s="6"/>
      <c r="L103" s="6"/>
      <c r="M103" s="6"/>
      <c r="N103" s="6"/>
      <c r="O103" s="6"/>
      <c r="P103" s="8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>
      <c r="A104" s="8"/>
      <c r="B104" s="104"/>
      <c r="C104" s="104"/>
      <c r="D104" s="105"/>
      <c r="E104" s="4"/>
      <c r="F104" s="5"/>
      <c r="G104" s="6"/>
      <c r="H104" s="4"/>
      <c r="I104" s="7"/>
      <c r="J104" s="6"/>
      <c r="K104" s="6"/>
      <c r="L104" s="6"/>
      <c r="M104" s="6"/>
      <c r="N104" s="6"/>
      <c r="O104" s="6"/>
      <c r="P104" s="8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>
      <c r="A105" s="8"/>
      <c r="B105" s="104"/>
      <c r="C105" s="104"/>
      <c r="D105" s="105"/>
      <c r="E105" s="4"/>
      <c r="F105" s="5"/>
      <c r="G105" s="6"/>
      <c r="H105" s="4"/>
      <c r="I105" s="7"/>
      <c r="J105" s="6"/>
      <c r="K105" s="6"/>
      <c r="L105" s="6"/>
      <c r="M105" s="6"/>
      <c r="N105" s="6"/>
      <c r="O105" s="6"/>
      <c r="P105" s="8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>
      <c r="A106" s="8"/>
      <c r="B106" s="104"/>
      <c r="C106" s="104"/>
      <c r="D106" s="105"/>
      <c r="E106" s="4"/>
      <c r="F106" s="5"/>
      <c r="G106" s="6"/>
      <c r="H106" s="4"/>
      <c r="I106" s="7"/>
      <c r="J106" s="6"/>
      <c r="K106" s="6"/>
      <c r="L106" s="6"/>
      <c r="M106" s="6"/>
      <c r="N106" s="6"/>
      <c r="O106" s="6"/>
      <c r="P106" s="8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>
      <c r="A107" s="8"/>
      <c r="B107" s="104"/>
      <c r="C107" s="104"/>
      <c r="D107" s="105"/>
      <c r="E107" s="4"/>
      <c r="F107" s="5"/>
      <c r="G107" s="6"/>
      <c r="H107" s="4"/>
      <c r="I107" s="7"/>
      <c r="J107" s="6"/>
      <c r="K107" s="6"/>
      <c r="L107" s="6"/>
      <c r="M107" s="6"/>
      <c r="N107" s="6"/>
      <c r="O107" s="6"/>
      <c r="P107" s="8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>
      <c r="A108" s="8"/>
      <c r="B108" s="104"/>
      <c r="C108" s="104"/>
      <c r="D108" s="105"/>
      <c r="E108" s="4"/>
      <c r="F108" s="5"/>
      <c r="G108" s="6"/>
      <c r="H108" s="4"/>
      <c r="I108" s="7"/>
      <c r="J108" s="6"/>
      <c r="K108" s="6"/>
      <c r="L108" s="6"/>
      <c r="M108" s="6"/>
      <c r="N108" s="6"/>
      <c r="O108" s="6"/>
      <c r="P108" s="8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>
      <c r="A109" s="8"/>
      <c r="B109" s="104"/>
      <c r="C109" s="104"/>
      <c r="D109" s="105"/>
      <c r="E109" s="4"/>
      <c r="F109" s="5"/>
      <c r="G109" s="6"/>
      <c r="H109" s="4"/>
      <c r="I109" s="7"/>
      <c r="J109" s="6"/>
      <c r="K109" s="6"/>
      <c r="L109" s="6"/>
      <c r="M109" s="6"/>
      <c r="N109" s="6"/>
      <c r="O109" s="6"/>
      <c r="P109" s="8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>
      <c r="A110" s="8"/>
      <c r="B110" s="104"/>
      <c r="C110" s="104"/>
      <c r="D110" s="105"/>
      <c r="E110" s="4"/>
      <c r="F110" s="5"/>
      <c r="G110" s="6"/>
      <c r="H110" s="4"/>
      <c r="I110" s="7"/>
      <c r="J110" s="6"/>
      <c r="K110" s="6"/>
      <c r="L110" s="6"/>
      <c r="M110" s="6"/>
      <c r="N110" s="6"/>
      <c r="O110" s="6"/>
      <c r="P110" s="8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>
      <c r="A111" s="8"/>
      <c r="B111" s="104"/>
      <c r="C111" s="104"/>
      <c r="D111" s="105"/>
      <c r="E111" s="4"/>
      <c r="F111" s="5"/>
      <c r="G111" s="6"/>
      <c r="H111" s="4"/>
      <c r="I111" s="7"/>
      <c r="J111" s="6"/>
      <c r="K111" s="6"/>
      <c r="L111" s="6"/>
      <c r="M111" s="6"/>
      <c r="N111" s="6"/>
      <c r="O111" s="6"/>
      <c r="P111" s="8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>
      <c r="A112" s="8"/>
      <c r="B112" s="104"/>
      <c r="C112" s="104"/>
      <c r="D112" s="105"/>
      <c r="E112" s="4"/>
      <c r="F112" s="5"/>
      <c r="G112" s="6"/>
      <c r="H112" s="4"/>
      <c r="I112" s="7"/>
      <c r="J112" s="6"/>
      <c r="K112" s="6"/>
      <c r="L112" s="6"/>
      <c r="M112" s="6"/>
      <c r="N112" s="6"/>
      <c r="O112" s="6"/>
      <c r="P112" s="8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>
      <c r="A113" s="8"/>
      <c r="B113" s="104"/>
      <c r="C113" s="104"/>
      <c r="D113" s="105"/>
      <c r="E113" s="4"/>
      <c r="F113" s="5"/>
      <c r="G113" s="6"/>
      <c r="H113" s="4"/>
      <c r="I113" s="7"/>
      <c r="J113" s="6"/>
      <c r="K113" s="6"/>
      <c r="L113" s="6"/>
      <c r="M113" s="6"/>
      <c r="N113" s="6"/>
      <c r="O113" s="6"/>
      <c r="P113" s="8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>
      <c r="A114" s="8"/>
      <c r="B114" s="104"/>
      <c r="C114" s="104"/>
      <c r="D114" s="105"/>
      <c r="E114" s="4"/>
      <c r="F114" s="5"/>
      <c r="G114" s="6"/>
      <c r="H114" s="4"/>
      <c r="I114" s="7"/>
      <c r="J114" s="6"/>
      <c r="K114" s="6"/>
      <c r="L114" s="6"/>
      <c r="M114" s="6"/>
      <c r="N114" s="6"/>
      <c r="O114" s="6"/>
      <c r="P114" s="8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>
      <c r="A115" s="8"/>
      <c r="B115" s="104"/>
      <c r="C115" s="104"/>
      <c r="D115" s="105"/>
      <c r="E115" s="4"/>
      <c r="F115" s="5"/>
      <c r="G115" s="6"/>
      <c r="H115" s="4"/>
      <c r="I115" s="7"/>
      <c r="J115" s="6"/>
      <c r="K115" s="6"/>
      <c r="L115" s="6"/>
      <c r="M115" s="6"/>
      <c r="N115" s="6"/>
      <c r="O115" s="6"/>
      <c r="P115" s="8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>
      <c r="A116" s="8"/>
      <c r="B116" s="104"/>
      <c r="C116" s="104"/>
      <c r="D116" s="105"/>
      <c r="E116" s="4"/>
      <c r="F116" s="5"/>
      <c r="G116" s="6"/>
      <c r="H116" s="4"/>
      <c r="I116" s="7"/>
      <c r="J116" s="6"/>
      <c r="K116" s="6"/>
      <c r="L116" s="6"/>
      <c r="M116" s="6"/>
      <c r="N116" s="6"/>
      <c r="O116" s="6"/>
      <c r="P116" s="8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>
      <c r="A117" s="8"/>
      <c r="B117" s="104"/>
      <c r="C117" s="104"/>
      <c r="D117" s="105"/>
      <c r="E117" s="4"/>
      <c r="F117" s="5"/>
      <c r="G117" s="6"/>
      <c r="H117" s="4"/>
      <c r="I117" s="7"/>
      <c r="J117" s="6"/>
      <c r="K117" s="6"/>
      <c r="L117" s="6"/>
      <c r="M117" s="6"/>
      <c r="N117" s="6"/>
      <c r="O117" s="6"/>
      <c r="P117" s="8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>
      <c r="A118" s="8"/>
      <c r="B118" s="104"/>
      <c r="C118" s="104"/>
      <c r="D118" s="105"/>
      <c r="E118" s="4"/>
      <c r="F118" s="5"/>
      <c r="G118" s="6"/>
      <c r="H118" s="4"/>
      <c r="I118" s="7"/>
      <c r="J118" s="6"/>
      <c r="K118" s="6"/>
      <c r="L118" s="6"/>
      <c r="M118" s="6"/>
      <c r="N118" s="6"/>
      <c r="O118" s="6"/>
      <c r="P118" s="8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>
      <c r="A119" s="8"/>
      <c r="B119" s="104"/>
      <c r="C119" s="104"/>
      <c r="D119" s="105"/>
      <c r="E119" s="4"/>
      <c r="F119" s="5"/>
      <c r="G119" s="6"/>
      <c r="H119" s="4"/>
      <c r="I119" s="7"/>
      <c r="J119" s="6"/>
      <c r="K119" s="6"/>
      <c r="L119" s="6"/>
      <c r="M119" s="6"/>
      <c r="N119" s="6"/>
      <c r="O119" s="6"/>
      <c r="P119" s="8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>
      <c r="A120" s="8"/>
      <c r="B120" s="104"/>
      <c r="C120" s="104"/>
      <c r="D120" s="105"/>
      <c r="E120" s="4"/>
      <c r="F120" s="5"/>
      <c r="G120" s="6"/>
      <c r="H120" s="4"/>
      <c r="I120" s="7"/>
      <c r="J120" s="6"/>
      <c r="K120" s="6"/>
      <c r="L120" s="6"/>
      <c r="M120" s="6"/>
      <c r="N120" s="6"/>
      <c r="O120" s="6"/>
      <c r="P120" s="8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>
      <c r="A121" s="8"/>
      <c r="B121" s="104"/>
      <c r="C121" s="104"/>
      <c r="D121" s="105"/>
      <c r="E121" s="4"/>
      <c r="F121" s="5"/>
      <c r="G121" s="6"/>
      <c r="H121" s="4"/>
      <c r="I121" s="7"/>
      <c r="J121" s="6"/>
      <c r="K121" s="6"/>
      <c r="L121" s="6"/>
      <c r="M121" s="6"/>
      <c r="N121" s="6"/>
      <c r="O121" s="6"/>
      <c r="P121" s="8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>
      <c r="A122" s="8"/>
      <c r="B122" s="104"/>
      <c r="C122" s="104"/>
      <c r="D122" s="105"/>
      <c r="E122" s="4"/>
      <c r="F122" s="5"/>
      <c r="G122" s="6"/>
      <c r="H122" s="4"/>
      <c r="I122" s="7"/>
      <c r="J122" s="6"/>
      <c r="K122" s="6"/>
      <c r="L122" s="6"/>
      <c r="M122" s="6"/>
      <c r="N122" s="6"/>
      <c r="O122" s="6"/>
      <c r="P122" s="8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>
      <c r="A123" s="8"/>
      <c r="B123" s="104"/>
      <c r="C123" s="104"/>
      <c r="D123" s="105"/>
      <c r="E123" s="4"/>
      <c r="F123" s="5"/>
      <c r="G123" s="6"/>
      <c r="H123" s="4"/>
      <c r="I123" s="7"/>
      <c r="J123" s="6"/>
      <c r="K123" s="6"/>
      <c r="L123" s="6"/>
      <c r="M123" s="6"/>
      <c r="N123" s="6"/>
      <c r="O123" s="6"/>
      <c r="P123" s="8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>
      <c r="A124" s="8"/>
      <c r="B124" s="104"/>
      <c r="C124" s="104"/>
      <c r="D124" s="105"/>
      <c r="E124" s="4"/>
      <c r="F124" s="5"/>
      <c r="G124" s="6"/>
      <c r="H124" s="4"/>
      <c r="I124" s="7"/>
      <c r="J124" s="6"/>
      <c r="K124" s="6"/>
      <c r="L124" s="6"/>
      <c r="M124" s="6"/>
      <c r="N124" s="6"/>
      <c r="O124" s="6"/>
      <c r="P124" s="8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>
      <c r="A125" s="8"/>
      <c r="B125" s="104"/>
      <c r="C125" s="104"/>
      <c r="D125" s="105"/>
      <c r="E125" s="4"/>
      <c r="F125" s="5"/>
      <c r="G125" s="6"/>
      <c r="H125" s="4"/>
      <c r="I125" s="7"/>
      <c r="J125" s="6"/>
      <c r="K125" s="6"/>
      <c r="L125" s="6"/>
      <c r="M125" s="6"/>
      <c r="N125" s="6"/>
      <c r="O125" s="6"/>
      <c r="P125" s="8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>
      <c r="A126" s="8"/>
      <c r="B126" s="104"/>
      <c r="C126" s="104"/>
      <c r="D126" s="105"/>
      <c r="E126" s="4"/>
      <c r="F126" s="5"/>
      <c r="G126" s="6"/>
      <c r="H126" s="4"/>
      <c r="I126" s="7"/>
      <c r="J126" s="6"/>
      <c r="K126" s="6"/>
      <c r="L126" s="6"/>
      <c r="M126" s="6"/>
      <c r="N126" s="6"/>
      <c r="O126" s="6"/>
      <c r="P126" s="8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>
      <c r="A127" s="8"/>
      <c r="B127" s="104"/>
      <c r="C127" s="104"/>
      <c r="D127" s="105"/>
      <c r="E127" s="4"/>
      <c r="F127" s="5"/>
      <c r="G127" s="6"/>
      <c r="H127" s="4"/>
      <c r="I127" s="7"/>
      <c r="J127" s="6"/>
      <c r="K127" s="6"/>
      <c r="L127" s="6"/>
      <c r="M127" s="6"/>
      <c r="N127" s="6"/>
      <c r="O127" s="6"/>
      <c r="P127" s="8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>
      <c r="A128" s="8"/>
      <c r="B128" s="104"/>
      <c r="C128" s="104"/>
      <c r="D128" s="105"/>
      <c r="E128" s="4"/>
      <c r="F128" s="5"/>
      <c r="G128" s="6"/>
      <c r="H128" s="4"/>
      <c r="I128" s="7"/>
      <c r="J128" s="6"/>
      <c r="K128" s="6"/>
      <c r="L128" s="6"/>
      <c r="M128" s="6"/>
      <c r="N128" s="6"/>
      <c r="O128" s="6"/>
      <c r="P128" s="8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>
      <c r="A129" s="8"/>
      <c r="B129" s="104"/>
      <c r="C129" s="104"/>
      <c r="D129" s="105"/>
      <c r="E129" s="4"/>
      <c r="F129" s="5"/>
      <c r="G129" s="6"/>
      <c r="H129" s="4"/>
      <c r="I129" s="7"/>
      <c r="J129" s="6"/>
      <c r="K129" s="6"/>
      <c r="L129" s="6"/>
      <c r="M129" s="6"/>
      <c r="N129" s="6"/>
      <c r="O129" s="6"/>
      <c r="P129" s="8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>
      <c r="A130" s="8"/>
      <c r="B130" s="104"/>
      <c r="C130" s="104"/>
      <c r="D130" s="105"/>
      <c r="E130" s="4"/>
      <c r="F130" s="5"/>
      <c r="G130" s="6"/>
      <c r="H130" s="4"/>
      <c r="I130" s="7"/>
      <c r="J130" s="6"/>
      <c r="K130" s="6"/>
      <c r="L130" s="6"/>
      <c r="M130" s="6"/>
      <c r="N130" s="6"/>
      <c r="O130" s="6"/>
      <c r="P130" s="8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>
      <c r="A131" s="8"/>
      <c r="B131" s="104"/>
      <c r="C131" s="104"/>
      <c r="D131" s="105"/>
      <c r="E131" s="4"/>
      <c r="F131" s="5"/>
      <c r="G131" s="6"/>
      <c r="H131" s="4"/>
      <c r="I131" s="7"/>
      <c r="J131" s="6"/>
      <c r="K131" s="6"/>
      <c r="L131" s="6"/>
      <c r="M131" s="6"/>
      <c r="N131" s="6"/>
      <c r="O131" s="6"/>
      <c r="P131" s="8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>
      <c r="A132" s="8"/>
      <c r="B132" s="104"/>
      <c r="C132" s="104"/>
      <c r="D132" s="105"/>
      <c r="E132" s="4"/>
      <c r="F132" s="5"/>
      <c r="G132" s="6"/>
      <c r="H132" s="4"/>
      <c r="I132" s="7"/>
      <c r="J132" s="6"/>
      <c r="K132" s="6"/>
      <c r="L132" s="6"/>
      <c r="M132" s="6"/>
      <c r="N132" s="6"/>
      <c r="O132" s="6"/>
      <c r="P132" s="8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>
      <c r="A133" s="8"/>
      <c r="B133" s="104"/>
      <c r="C133" s="104"/>
      <c r="D133" s="105"/>
      <c r="E133" s="4"/>
      <c r="F133" s="5"/>
      <c r="G133" s="6"/>
      <c r="H133" s="4"/>
      <c r="I133" s="7"/>
      <c r="J133" s="6"/>
      <c r="K133" s="6"/>
      <c r="L133" s="6"/>
      <c r="M133" s="6"/>
      <c r="N133" s="6"/>
      <c r="O133" s="6"/>
      <c r="P133" s="8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>
      <c r="A134" s="8"/>
      <c r="B134" s="104"/>
      <c r="C134" s="104"/>
      <c r="D134" s="105"/>
      <c r="E134" s="4"/>
      <c r="F134" s="5"/>
      <c r="G134" s="6"/>
      <c r="H134" s="4"/>
      <c r="I134" s="7"/>
      <c r="J134" s="6"/>
      <c r="K134" s="6"/>
      <c r="L134" s="6"/>
      <c r="M134" s="6"/>
      <c r="N134" s="6"/>
      <c r="O134" s="6"/>
      <c r="P134" s="8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>
      <c r="A135" s="8"/>
      <c r="B135" s="104"/>
      <c r="C135" s="104"/>
      <c r="D135" s="105"/>
      <c r="E135" s="4"/>
      <c r="F135" s="5"/>
      <c r="G135" s="6"/>
      <c r="H135" s="4"/>
      <c r="I135" s="7"/>
      <c r="J135" s="6"/>
      <c r="K135" s="6"/>
      <c r="L135" s="6"/>
      <c r="M135" s="6"/>
      <c r="N135" s="6"/>
      <c r="O135" s="6"/>
      <c r="P135" s="8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>
      <c r="A136" s="8"/>
      <c r="B136" s="104"/>
      <c r="C136" s="104"/>
      <c r="D136" s="105"/>
      <c r="E136" s="4"/>
      <c r="F136" s="5"/>
      <c r="G136" s="6"/>
      <c r="H136" s="4"/>
      <c r="I136" s="7"/>
      <c r="J136" s="6"/>
      <c r="K136" s="6"/>
      <c r="L136" s="6"/>
      <c r="M136" s="6"/>
      <c r="N136" s="6"/>
      <c r="O136" s="6"/>
      <c r="P136" s="8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>
      <c r="A137" s="8"/>
      <c r="B137" s="104"/>
      <c r="C137" s="104"/>
      <c r="D137" s="105"/>
      <c r="E137" s="4"/>
      <c r="F137" s="5"/>
      <c r="G137" s="6"/>
      <c r="H137" s="4"/>
      <c r="I137" s="7"/>
      <c r="J137" s="6"/>
      <c r="K137" s="6"/>
      <c r="L137" s="6"/>
      <c r="M137" s="6"/>
      <c r="N137" s="6"/>
      <c r="O137" s="6"/>
      <c r="P137" s="8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>
      <c r="A138" s="8"/>
      <c r="B138" s="104"/>
      <c r="C138" s="104"/>
      <c r="D138" s="105"/>
      <c r="E138" s="4"/>
      <c r="F138" s="5"/>
      <c r="G138" s="6"/>
      <c r="H138" s="4"/>
      <c r="I138" s="7"/>
      <c r="J138" s="6"/>
      <c r="K138" s="6"/>
      <c r="L138" s="6"/>
      <c r="M138" s="6"/>
      <c r="N138" s="6"/>
      <c r="O138" s="6"/>
      <c r="P138" s="8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>
      <c r="A139" s="8"/>
      <c r="B139" s="104"/>
      <c r="C139" s="104"/>
      <c r="D139" s="105"/>
      <c r="E139" s="4"/>
      <c r="F139" s="5"/>
      <c r="G139" s="6"/>
      <c r="H139" s="4"/>
      <c r="I139" s="7"/>
      <c r="J139" s="6"/>
      <c r="K139" s="6"/>
      <c r="L139" s="6"/>
      <c r="M139" s="6"/>
      <c r="N139" s="6"/>
      <c r="O139" s="6"/>
      <c r="P139" s="8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>
      <c r="A140" s="8"/>
      <c r="B140" s="104"/>
      <c r="C140" s="104"/>
      <c r="D140" s="105"/>
      <c r="E140" s="4"/>
      <c r="F140" s="5"/>
      <c r="G140" s="6"/>
      <c r="H140" s="4"/>
      <c r="I140" s="7"/>
      <c r="J140" s="6"/>
      <c r="K140" s="6"/>
      <c r="L140" s="6"/>
      <c r="M140" s="6"/>
      <c r="N140" s="6"/>
      <c r="O140" s="6"/>
      <c r="P140" s="8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>
      <c r="A141" s="8"/>
      <c r="B141" s="104"/>
      <c r="C141" s="104"/>
      <c r="D141" s="105"/>
      <c r="E141" s="4"/>
      <c r="F141" s="5"/>
      <c r="G141" s="6"/>
      <c r="H141" s="4"/>
      <c r="I141" s="7"/>
      <c r="J141" s="6"/>
      <c r="K141" s="6"/>
      <c r="L141" s="6"/>
      <c r="M141" s="6"/>
      <c r="N141" s="6"/>
      <c r="O141" s="6"/>
      <c r="P141" s="8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>
      <c r="A142" s="8"/>
      <c r="B142" s="104"/>
      <c r="C142" s="104"/>
      <c r="D142" s="105"/>
      <c r="E142" s="4"/>
      <c r="F142" s="5"/>
      <c r="G142" s="6"/>
      <c r="H142" s="4"/>
      <c r="I142" s="7"/>
      <c r="J142" s="6"/>
      <c r="K142" s="6"/>
      <c r="L142" s="6"/>
      <c r="M142" s="6"/>
      <c r="N142" s="6"/>
      <c r="O142" s="6"/>
      <c r="P142" s="8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>
      <c r="A143" s="8"/>
      <c r="B143" s="104"/>
      <c r="C143" s="104"/>
      <c r="D143" s="105"/>
      <c r="E143" s="4"/>
      <c r="F143" s="5"/>
      <c r="G143" s="6"/>
      <c r="H143" s="4"/>
      <c r="I143" s="7"/>
      <c r="J143" s="6"/>
      <c r="K143" s="6"/>
      <c r="L143" s="6"/>
      <c r="M143" s="6"/>
      <c r="N143" s="6"/>
      <c r="O143" s="6"/>
      <c r="P143" s="8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>
      <c r="A144" s="8"/>
      <c r="B144" s="104"/>
      <c r="C144" s="104"/>
      <c r="D144" s="105"/>
      <c r="E144" s="4"/>
      <c r="F144" s="5"/>
      <c r="G144" s="6"/>
      <c r="H144" s="4"/>
      <c r="I144" s="7"/>
      <c r="J144" s="6"/>
      <c r="K144" s="6"/>
      <c r="L144" s="6"/>
      <c r="M144" s="6"/>
      <c r="N144" s="6"/>
      <c r="O144" s="6"/>
      <c r="P144" s="8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>
      <c r="A145" s="8"/>
      <c r="B145" s="104"/>
      <c r="C145" s="104"/>
      <c r="D145" s="105"/>
      <c r="E145" s="4"/>
      <c r="F145" s="5"/>
      <c r="G145" s="6"/>
      <c r="H145" s="4"/>
      <c r="I145" s="7"/>
      <c r="J145" s="6"/>
      <c r="K145" s="6"/>
      <c r="L145" s="6"/>
      <c r="M145" s="6"/>
      <c r="N145" s="6"/>
      <c r="O145" s="6"/>
      <c r="P145" s="8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>
      <c r="A146" s="8"/>
      <c r="B146" s="104"/>
      <c r="C146" s="104"/>
      <c r="D146" s="105"/>
      <c r="E146" s="4"/>
      <c r="F146" s="5"/>
      <c r="G146" s="6"/>
      <c r="H146" s="4"/>
      <c r="I146" s="7"/>
      <c r="J146" s="6"/>
      <c r="K146" s="6"/>
      <c r="L146" s="6"/>
      <c r="M146" s="6"/>
      <c r="N146" s="6"/>
      <c r="O146" s="6"/>
      <c r="P146" s="8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>
      <c r="A147" s="8"/>
      <c r="B147" s="104"/>
      <c r="C147" s="104"/>
      <c r="D147" s="105"/>
      <c r="E147" s="4"/>
      <c r="F147" s="5"/>
      <c r="G147" s="6"/>
      <c r="H147" s="4"/>
      <c r="I147" s="7"/>
      <c r="J147" s="6"/>
      <c r="K147" s="6"/>
      <c r="L147" s="6"/>
      <c r="M147" s="6"/>
      <c r="N147" s="6"/>
      <c r="O147" s="6"/>
      <c r="P147" s="8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>
      <c r="A148" s="8"/>
      <c r="B148" s="104"/>
      <c r="C148" s="104"/>
      <c r="D148" s="105"/>
      <c r="E148" s="4"/>
      <c r="F148" s="5"/>
      <c r="G148" s="6"/>
      <c r="H148" s="4"/>
      <c r="I148" s="7"/>
      <c r="J148" s="6"/>
      <c r="K148" s="6"/>
      <c r="L148" s="6"/>
      <c r="M148" s="6"/>
      <c r="N148" s="6"/>
      <c r="O148" s="6"/>
      <c r="P148" s="8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>
      <c r="A149" s="8"/>
      <c r="B149" s="104"/>
      <c r="C149" s="104"/>
      <c r="D149" s="105"/>
      <c r="E149" s="4"/>
      <c r="F149" s="5"/>
      <c r="G149" s="6"/>
      <c r="H149" s="4"/>
      <c r="I149" s="7"/>
      <c r="J149" s="6"/>
      <c r="K149" s="6"/>
      <c r="L149" s="6"/>
      <c r="M149" s="6"/>
      <c r="N149" s="6"/>
      <c r="O149" s="6"/>
      <c r="P149" s="8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>
      <c r="A150" s="8"/>
      <c r="B150" s="104"/>
      <c r="C150" s="104"/>
      <c r="D150" s="105"/>
      <c r="E150" s="4"/>
      <c r="F150" s="5"/>
      <c r="G150" s="6"/>
      <c r="H150" s="4"/>
      <c r="I150" s="7"/>
      <c r="J150" s="6"/>
      <c r="K150" s="6"/>
      <c r="L150" s="6"/>
      <c r="M150" s="6"/>
      <c r="N150" s="6"/>
      <c r="O150" s="6"/>
      <c r="P150" s="8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>
      <c r="A151" s="8"/>
      <c r="B151" s="104"/>
      <c r="C151" s="104"/>
      <c r="D151" s="105"/>
      <c r="E151" s="4"/>
      <c r="F151" s="5"/>
      <c r="G151" s="6"/>
      <c r="H151" s="4"/>
      <c r="I151" s="7"/>
      <c r="J151" s="6"/>
      <c r="K151" s="6"/>
      <c r="L151" s="6"/>
      <c r="M151" s="6"/>
      <c r="N151" s="6"/>
      <c r="O151" s="6"/>
      <c r="P151" s="8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>
      <c r="A152" s="8"/>
      <c r="B152" s="104"/>
      <c r="C152" s="104"/>
      <c r="D152" s="105"/>
      <c r="E152" s="4"/>
      <c r="F152" s="5"/>
      <c r="G152" s="6"/>
      <c r="H152" s="4"/>
      <c r="I152" s="7"/>
      <c r="J152" s="6"/>
      <c r="K152" s="6"/>
      <c r="L152" s="6"/>
      <c r="M152" s="6"/>
      <c r="N152" s="6"/>
      <c r="O152" s="6"/>
      <c r="P152" s="8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>
      <c r="A153" s="8"/>
      <c r="B153" s="104"/>
      <c r="C153" s="104"/>
      <c r="D153" s="105"/>
      <c r="E153" s="4"/>
      <c r="F153" s="5"/>
      <c r="G153" s="6"/>
      <c r="H153" s="4"/>
      <c r="I153" s="7"/>
      <c r="J153" s="6"/>
      <c r="K153" s="6"/>
      <c r="L153" s="6"/>
      <c r="M153" s="6"/>
      <c r="N153" s="6"/>
      <c r="O153" s="6"/>
      <c r="P153" s="8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>
      <c r="A154" s="8"/>
      <c r="B154" s="104"/>
      <c r="C154" s="104"/>
      <c r="D154" s="105"/>
      <c r="E154" s="4"/>
      <c r="F154" s="5"/>
      <c r="G154" s="6"/>
      <c r="H154" s="4"/>
      <c r="I154" s="7"/>
      <c r="J154" s="6"/>
      <c r="K154" s="6"/>
      <c r="L154" s="6"/>
      <c r="M154" s="6"/>
      <c r="N154" s="6"/>
      <c r="O154" s="6"/>
      <c r="P154" s="8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>
      <c r="A155" s="8"/>
      <c r="B155" s="104"/>
      <c r="C155" s="104"/>
      <c r="D155" s="105"/>
      <c r="E155" s="4"/>
      <c r="F155" s="5"/>
      <c r="G155" s="6"/>
      <c r="H155" s="4"/>
      <c r="I155" s="7"/>
      <c r="J155" s="6"/>
      <c r="K155" s="6"/>
      <c r="L155" s="6"/>
      <c r="M155" s="6"/>
      <c r="N155" s="6"/>
      <c r="O155" s="6"/>
      <c r="P155" s="8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</sheetData>
  <mergeCells count="41">
    <mergeCell ref="A1:B1"/>
    <mergeCell ref="A2:B2"/>
    <mergeCell ref="A3:B3"/>
    <mergeCell ref="D4:E4"/>
    <mergeCell ref="A5:B7"/>
    <mergeCell ref="C5:C7"/>
    <mergeCell ref="D5:D7"/>
    <mergeCell ref="A8:B8"/>
    <mergeCell ref="E5:E7"/>
    <mergeCell ref="F5:F7"/>
    <mergeCell ref="G5:G7"/>
    <mergeCell ref="H5:H7"/>
    <mergeCell ref="I5:I7"/>
    <mergeCell ref="J5:J7"/>
    <mergeCell ref="K5:K7"/>
    <mergeCell ref="L5:L7"/>
    <mergeCell ref="M5:M7"/>
    <mergeCell ref="N5:N7"/>
    <mergeCell ref="O5:O7"/>
    <mergeCell ref="P5:P7"/>
    <mergeCell ref="Q5:Q7"/>
    <mergeCell ref="R5:R7"/>
    <mergeCell ref="S5:S7"/>
    <mergeCell ref="T5:T7"/>
    <mergeCell ref="U5:U7"/>
    <mergeCell ref="V5:V7"/>
    <mergeCell ref="W5:W7"/>
    <mergeCell ref="X5:X7"/>
    <mergeCell ref="Y5:Y7"/>
    <mergeCell ref="AG5:AG7"/>
    <mergeCell ref="AH5:AH7"/>
    <mergeCell ref="AI5:AI7"/>
    <mergeCell ref="AY5:AY7"/>
    <mergeCell ref="AZ5:AZ7"/>
    <mergeCell ref="Z5:Z7"/>
    <mergeCell ref="AA5:AA7"/>
    <mergeCell ref="AB5:AB7"/>
    <mergeCell ref="AC5:AC7"/>
    <mergeCell ref="AD5:AD7"/>
    <mergeCell ref="AE5:AE7"/>
    <mergeCell ref="AF5:AF7"/>
  </mergeCells>
  <printOptions/>
  <pageMargins bottom="0.748031496062992" footer="0.0" header="0.0" left="0.25" right="2.46" top="0.41"/>
  <pageSetup paperSize="5" orientation="landscape"/>
  <drawing r:id="rId1"/>
</worksheet>
</file>