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9b961e991d4b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nduan Pengisian" sheetId="1" r:id="R4eec54d4b1864497"/>
    <x:sheet xmlns:r="http://schemas.openxmlformats.org/officeDocument/2006/relationships" name="Data Dasar RS" sheetId="2" r:id="R76cf996b75854707"/>
    <x:sheet xmlns:r="http://schemas.openxmlformats.org/officeDocument/2006/relationships" name="Data Operasional" sheetId="3" r:id="Rc6d35d59e86a49da"/>
    <x:sheet xmlns:r="http://schemas.openxmlformats.org/officeDocument/2006/relationships" name="Costing Template" sheetId="4" r:id="Rc223af5344794cbf"/>
    <x:sheet xmlns:r="http://schemas.openxmlformats.org/officeDocument/2006/relationships" name="Kamus Kolom" sheetId="5" r:id="R0adba3bf45a3462a"/>
    <x:sheet xmlns:r="http://schemas.openxmlformats.org/officeDocument/2006/relationships" name="Contoh Pengisian" sheetId="6" r:id="R15e60176615849f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56" formatCode="&quot;上午/下午 &quot;hh&quot;時&quot;mm&quot;分&quot;ss&quot;秒 &quot;"/>
  </x:numFmts>
  <x:fonts count="5">
    <x:font>
      <x:sz val="12"/>
      <x:color theme="1"/>
      <x:name val="Calibri"/>
      <x:family val="2"/>
      <x:scheme val="minor"/>
    </x:font>
    <x:font>
      <x:sz val="11"/>
      <x:color rgb="FF14213D"/>
      <x:name val="Arial"/>
      <x:family val="2"/>
      <x:scheme val="minor"/>
    </x:font>
    <x:font>
      <x:b/>
      <x:sz val="13"/>
      <x:color rgb="FFFFFFFF"/>
      <x:name val="Arial"/>
      <x:family val="2"/>
      <x:scheme val="minor"/>
    </x:font>
    <x:font>
      <x:b/>
      <x:sz val="11"/>
      <x:color rgb="FFFFFFFF"/>
      <x:name val="Arial"/>
      <x:family val="2"/>
      <x:scheme val="minor"/>
    </x:font>
    <x:font>
      <x:sz val="11"/>
      <x:color rgb="FF1D4ED8"/>
      <x:name val="Arial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5F7FA"/>
      </x:patternFill>
    </x:fill>
    <x:fill>
      <x:patternFill patternType="solid">
        <x:fgColor rgb="FFFFF7DA"/>
      </x:patternFill>
    </x:fill>
    <x:fill>
      <x:patternFill patternType="solid">
        <x:fgColor rgb="FFF4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 applyNumberFormat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1a020c682a4388" /><Relationship Type="http://schemas.openxmlformats.org/officeDocument/2006/relationships/theme" Target="/xl/theme/theme1.xml" Id="Rc16b8e914b4c4787" /><Relationship Type="http://schemas.openxmlformats.org/officeDocument/2006/relationships/sheetMetadata" Target="/xl/metadata1.xml" Id="R99ac82241ca94c33" /><Relationship Type="http://schemas.openxmlformats.org/officeDocument/2006/relationships/sharedStrings" Target="/xl/sharedStrings.xml" Id="R8ba6be9c2e054bcf" /><Relationship Type="http://schemas.openxmlformats.org/officeDocument/2006/relationships/worksheet" Target="/xl/worksheets/sheet1.xml" Id="R4eec54d4b1864497" /><Relationship Type="http://schemas.openxmlformats.org/officeDocument/2006/relationships/worksheet" Target="/xl/worksheets/sheet2.xml" Id="R76cf996b75854707" /><Relationship Type="http://schemas.openxmlformats.org/officeDocument/2006/relationships/worksheet" Target="/xl/worksheets/sheet3.xml" Id="Rc6d35d59e86a49da" /><Relationship Type="http://schemas.openxmlformats.org/officeDocument/2006/relationships/worksheet" Target="/xl/worksheets/sheet4.xml" Id="Rc223af5344794cbf" /><Relationship Type="http://schemas.openxmlformats.org/officeDocument/2006/relationships/worksheet" Target="/xl/worksheets/sheet5.xml" Id="R0adba3bf45a3462a" /><Relationship Type="http://schemas.openxmlformats.org/officeDocument/2006/relationships/worksheet" Target="/xl/worksheets/sheet6.xml" Id="R15e60176615849f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4.440000534057617" hidden="0" customWidth="1"/>
    <x:col min="2" max="2" width="86.66999816894531" hidden="0" customWidth="1"/>
  </x:cols>
  <x:sheetData>
    <x:row r="1" ht="48" customHeight="1">
      <x:c r="A1" s="5" t="str">
        <x:v>PANDUAN PENGISIAN UNITCOST PRO</x:v>
      </x:c>
      <x:c r="B1" s="5" t="str">
        <x:v>Analisis 18 Komponen</x:v>
      </x:c>
    </x:row>
    <x:row r="2" ht="38" customHeight="1">
      <x:c r="A2" s="3" t="str">
        <x:v>Contoh</x:v>
      </x:c>
      <x:c r="B2" s="3" t="str">
        <x:v>Seluruh contoh adalah data sintetis. Gunakan data RS sebenarnya.</x:v>
      </x:c>
    </x:row>
    <x:row r="3" ht="38" customHeight="1">
      <x:c r="A3" s="6" t="str">
        <x:v>Sesi aplikasi</x:v>
      </x:c>
      <x:c r="B3" s="6" t="str">
        <x:v>Data hanya berada di memori. Ekspor atau unduh cadangan sebelum logout, refresh atau menutup tab.</x:v>
      </x:c>
    </x:row>
    <x:row r="4" ht="38" customHeight="1">
      <x:c r="A4" s="3" t="str">
        <x:v>Urutan</x:v>
      </x:c>
      <x:c r="B4" s="3" t="str">
        <x:v>Data Dasar RS, Data Operasional, Costing Template.</x:v>
      </x:c>
    </x:row>
    <x:row r="5" ht="38" customHeight="1">
      <x:c r="A5" s="6" t="str">
        <x:v>Aturan 1</x:v>
      </x:c>
      <x:c r="B5" s="6" t="str">
        <x:v>Unduh template dari ruang analisis yang akan digunakan. Simpan salinan kosong sebelum mengisi.</x:v>
      </x:c>
    </x:row>
    <x:row r="6" ht="38" customHeight="1">
      <x:c r="A6" s="3" t="str">
        <x:v>Aturan 2</x:v>
      </x:c>
      <x:c r="B6" s="3" t="str">
        <x:v>Gunakan satu periode biaya yang sama pada seluruh sheet. Catat periode klaim TXT secara terpisah.</x:v>
      </x:c>
    </x:row>
    <x:row r="7" ht="38" customHeight="1">
      <x:c r="A7" s="6" t="str">
        <x:v>Aturan 3</x:v>
      </x:c>
      <x:c r="B7" s="6" t="str">
        <x:v>Pertahankan nama sheet, urutan kolom, judul kelompok A/B/C, dan ID unit. Tambah unit pada kelompok yang sesuai.</x:v>
      </x:c>
    </x:row>
    <x:row r="8" ht="46" customHeight="1">
      <x:c r="A8" s="3" t="str">
        <x:v>Aturan 4</x:v>
      </x:c>
      <x:c r="B8" s="3" t="str">
        <x:v>Masukkan biaya sebagai angka Excel, misalnya 1250000. Tampilan Rupiah boleh memakai format sel; jangan mengetik teks Rp di sel angka.</x:v>
      </x:c>
    </x:row>
    <x:row r="9" ht="46" customHeight="1">
      <x:c r="A9" s="6" t="str">
        <x:v>Aturan 5</x:v>
      </x:c>
      <x:c r="B9" s="6" t="str">
        <x:v>Isi 0 hanya jika nilai memang nol. Nilai yang belum tersedia perlu dicatat dan diperiksa; kolom biaya kosong dapat dibaca sebagai nol oleh importer.</x:v>
      </x:c>
    </x:row>
    <x:row r="10" ht="46" customHeight="1">
      <x:c r="A10" s="3" t="str">
        <x:v>Aturan 6</x:v>
      </x:c>
      <x:c r="B10" s="3" t="str">
        <x:v>Trimming hasil: di luar rata-rata ±2 SD sampel per iDRG dan jenis rawat. HBR memakai inlier; biaya outlier direkonsiliasi terpisah.</x:v>
      </x:c>
    </x:row>
    <x:row r="11" ht="46" customHeight="1">
      <x:c r="A11" s="6" t="str">
        <x:v>Aturan 7</x:v>
      </x:c>
      <x:c r="B11" s="6" t="str">
        <x:v>Distribusi: Kamar memakai LOS dan ICU memakai hari ICU jika lengkap; cadangan episode diberi peringatan. Rasio biaya/tagihan di luar 0,2–5 perlu ditinjau.</x:v>
      </x:c>
    </x:row>
    <x:row r="12" ht="38" customHeight="1">
      <x:c r="A12" s="3" t="str">
        <x:v>Aturan 8</x:v>
      </x:c>
      <x:c r="B12" s="3" t="str">
        <x:v>Satu biaya dicatat sekali. Periksa apakah gaji, jasa medis, operasional, dan penyusutan sudah saling terpisah.</x:v>
      </x:c>
    </x:row>
    <x:row r="13" ht="38" customHeight="1">
      <x:c r="A13" s="6" t="str">
        <x:v>Aturan 9</x:v>
      </x:c>
      <x:c r="B13" s="6" t="str">
        <x:v>Contoh dalam panduan adalah data sintetis. Jangan menyalinnya sebagai data RS sebenarnya.</x:v>
      </x:c>
    </x:row>
    <x:row r="14" ht="38" customHeight="1">
      <x:c r="A14" s="3" t="str">
        <x:v>Data Dasar RS</x:v>
      </x:c>
      <x:c r="B14" s="3" t="str">
        <x:v>Isi identitas RS dan angka kontrol keuangan serta operasional.</x:v>
      </x:c>
    </x:row>
    <x:row r="15" ht="38" customHeight="1">
      <x:c r="A15" s="6" t="str">
        <x:v>Sumber</x:v>
      </x:c>
      <x:c r="B15" s="6" t="str">
        <x:v>Laporan keuangan, statistik RS, dan kepegawaian pada periode biaya.</x:v>
      </x:c>
    </x:row>
    <x:row r="16" ht="46" customHeight="1">
      <x:c r="A16" s="3" t="str">
        <x:v>Perhatian</x:v>
      </x:c>
      <x:c r="B16" s="3" t="str">
        <x:v>Isi hanya indikator yang tersedia pada template ruang ini. Pendapatan adalah angka pendapatan; kolom biaya unit tetap diisi dari beban/biaya, bukan dari tarif klaim.</x:v>
      </x:c>
    </x:row>
    <x:row r="17" ht="38" customHeight="1">
      <x:c r="A17" s="6" t="str">
        <x:v>Costing Template</x:v>
      </x:c>
      <x:c r="B17" s="6" t="str">
        <x:v>Satu baris untuk satu pusat biaya. Isi biaya langsung dan volume layanan unit tersebut.</x:v>
      </x:c>
    </x:row>
    <x:row r="18" ht="38" customHeight="1">
      <x:c r="A18" s="3" t="str">
        <x:v>Sumber</x:v>
      </x:c>
      <x:c r="B18" s="3" t="str">
        <x:v>Keuangan, SDM, inventaris aset, dan laporan pelayanan per unit.</x:v>
      </x:c>
    </x:row>
    <x:row r="19" ht="46" customHeight="1">
      <x:c r="A19" s="6" t="str">
        <x:v>Perhatian</x:v>
      </x:c>
      <x:c r="B19" s="6" t="str">
        <x:v>A = Overhead (administrasi/pendukung umum), B = Intermediate (penunjang medis), C = Final (layanan pasien). Jumlah staf, hari rawat, pasien pulang, dan kunjungan adalah ukuran yang berbeda.</x:v>
      </x:c>
    </x:row>
    <x:row r="20" ht="38" customHeight="1">
      <x:c r="A20" s="3" t="str">
        <x:v>Data Operasional</x:v>
      </x:c>
      <x:c r="B20" s="3" t="str">
        <x:v>Pisahkan layanan JKN dan Non-JKN untuk setiap unit.</x:v>
      </x:c>
    </x:row>
    <x:row r="21" ht="38" customHeight="1">
      <x:c r="A21" s="6" t="str">
        <x:v>Sumber</x:v>
      </x:c>
      <x:c r="B21" s="6" t="str">
        <x:v>Statistik pelayanan yang dapat dicocokkan dengan penjamin.</x:v>
      </x:c>
    </x:row>
    <x:row r="22" ht="38" customHeight="1">
      <x:c r="A22" s="3" t="str">
        <x:v>Perhatian</x:v>
      </x:c>
      <x:c r="B22" s="3" t="str">
        <x:v>Total volume = JKN + Non-JKN. Gunakan periode biaya yang sama, serta definisi unit dan penjamin yang konsisten.</x:v>
      </x:c>
    </x:row>
    <x:row r="23" ht="38" customHeight="1">
      <x:c r="A23" s="6" t="str">
        <x:v>PEMERIKSAAN SEBELUM UNGGAH</x:v>
      </x:c>
      <x:c r="B23" s="6" t="str">
        <x:v>Tandai setelah Anda memeriksa sumbernya.</x:v>
      </x:c>
    </x:row>
    <x:row r="24" ht="38" customHeight="1">
      <x:c r="A24" s="3" t="str">
        <x:v>Cek 1</x:v>
      </x:c>
      <x:c r="B24" s="3" t="str">
        <x:v>Identitas RS dan tahun biaya sudah benar pada seluruh sheet.</x:v>
      </x:c>
    </x:row>
    <x:row r="25" ht="38" customHeight="1">
      <x:c r="A25" s="6" t="str">
        <x:v>Cek 2</x:v>
      </x:c>
      <x:c r="B25" s="6" t="str">
        <x:v>Jumlah biaya unit sudah dicocokkan dengan laporan keuangan untuk periode yang sama.</x:v>
      </x:c>
    </x:row>
    <x:row r="26" ht="38" customHeight="1">
      <x:c r="A26" s="3" t="str">
        <x:v>Cek 3</x:v>
      </x:c>
      <x:c r="B26" s="3" t="str">
        <x:v>Volume layanan, penjamin JKN/Non-JKN, dan satuannya sudah diperiksa.</x:v>
      </x:c>
    </x:row>
    <x:row r="27" ht="38" customHeight="1">
      <x:c r="A27" s="6" t="str">
        <x:v>Cek 4</x:v>
      </x:c>
      <x:c r="B27" s="6" t="str">
        <x:v>Nilai aset adalah nilai perolehan, bukan angka penyusutan tahunan.</x:v>
      </x:c>
    </x:row>
    <x:row r="28" ht="38" customHeight="1">
      <x:c r="A28" s="3" t="str">
        <x:v>Cek 5</x:v>
      </x:c>
      <x:c r="B28" s="3" t="str">
        <x:v>Kolom otomatis dan struktur template tetap utuh.</x:v>
      </x:c>
    </x:row>
    <x:row r="29" ht="38" customHeight="1">
      <x:c r="A29" s="6" t="str">
        <x:v>Cek 6</x:v>
      </x:c>
      <x:c r="B29" s="6" t="str">
        <x:v>TXT asli E-Klaim tersedia; bulan tanggal pulang dan jumlah barisnya sudah diketahui.</x:v>
      </x:c>
    </x:row>
    <x:row r="30" ht="38" customHeight="1">
      <x:c r="A30" s="3" t="str">
        <x:v>Cek 7</x:v>
      </x:c>
      <x:c r="B30" s="3" t="str">
        <x:v>Setelah unggah, jumlah pasien, pusat biaya, periode, dan peringatan akan diperiksa sebelum menghitung.</x:v>
      </x:c>
    </x:row>
    <x:row r="31" ht="38" customHeight="1">
      <x:c r="A31" s="6" t="str">
        <x:v>Cek 8</x:v>
      </x:c>
      <x:c r="B31" s="6" t="str">
        <x:v>File sumber sudah disimpan. Hasil/cadangan akan diekspor sebelum logout, refresh, atau menutup tab.</x:v>
      </x:c>
    </x:row>
    <x:row r="32" ht="46" customHeight="1">
      <x:c r="A32" s="3" t="str">
        <x:v>Setelah unggah</x:v>
      </x:c>
      <x:c r="B32" s="3" t="str">
        <x:v>Periksa jumlah pasien, pusat biaya, periode, dan peringatan. Biaya unit menjadi unit cost melalui alokasi; billing mentah bukan unit cost.</x:v>
      </x:c>
    </x:row>
    <x:row r="33" ht="46" customHeight="1">
      <x:c r="A33" s="6" t="str">
        <x:v>Masalah umum</x:v>
      </x:c>
      <x:c r="B33" s="6" t="str">
        <x:v>Pusat biaya tidak terbaca: periksa judul A/B/C dan kolom No/Nama. TXT kosong: periksa ekspor E-Klaim. Hasil nol: periksa biaya, periode, pemetaan, dan billing penerima.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35" hidden="0" customWidth="1"/>
    <x:col min="2" max="2" width="27.780000686645508" hidden="0" customWidth="1"/>
  </x:cols>
  <x:sheetData>
    <x:row r="1" ht="38" customHeight="1">
      <x:c r="A1" s="7" t="str">
        <x:v>DATA DASAR RUMAH SAKIT</x:v>
      </x:c>
      <x:c r="B1" s="7" t="str">
        <x:v>NILAI</x:v>
      </x:c>
    </x:row>
    <x:row r="2" ht="28" customHeight="1">
      <x:c r="A2" s="3" t="str">
        <x:v>Nama Rumah Sakit</x:v>
      </x:c>
      <x:c r="B2" s="9" t="str"/>
    </x:row>
    <x:row r="3" ht="28" customHeight="1">
      <x:c r="A3" s="3" t="str">
        <x:v>Tipe RS</x:v>
      </x:c>
      <x:c r="B3" s="9" t="str">
        <x:v>B</x:v>
      </x:c>
    </x:row>
    <x:row r="4" ht="28" customHeight="1">
      <x:c r="A4" s="3" t="str">
        <x:v>Kepemilikan RS</x:v>
      </x:c>
      <x:c r="B4" s="9" t="str">
        <x:v>Pemerintah Daerah</x:v>
      </x:c>
    </x:row>
    <x:row r="5" ht="28" customHeight="1">
      <x:c r="A5" s="3" t="str">
        <x:v>Tahun Data</x:v>
      </x:c>
      <x:c r="B5" s="9">
        <x:v>2026</x:v>
      </x:c>
    </x:row>
    <x:row r="6" ht="28" customHeight="1">
      <x:c r="A6" s="3"/>
      <x:c r="B6" s="9"/>
    </x:row>
    <x:row r="7" ht="28" customHeight="1">
      <x:c r="A7" s="3" t="str">
        <x:v>BOR (%)</x:v>
      </x:c>
      <x:c r="B7" s="9">
        <x:v>0</x:v>
      </x:c>
    </x:row>
    <x:row r="8" ht="28" customHeight="1">
      <x:c r="A8" s="3" t="str">
        <x:v>ALOS (hari)</x:v>
      </x:c>
      <x:c r="B8" s="9">
        <x:v>0</x:v>
      </x:c>
    </x:row>
    <x:row r="9" ht="28" customHeight="1">
      <x:c r="A9" s="3" t="str">
        <x:v>Jumlah Tempat Tidur</x:v>
      </x:c>
      <x:c r="B9" s="9">
        <x:v>0</x:v>
      </x:c>
    </x:row>
    <x:row r="10" ht="28" customHeight="1">
      <x:c r="A10" s="3" t="str">
        <x:v>Lama Hari Rawat JKN</x:v>
      </x:c>
      <x:c r="B10" s="9">
        <x:v>0</x:v>
      </x:c>
    </x:row>
    <x:row r="11" ht="28" customHeight="1">
      <x:c r="A11" s="3" t="str">
        <x:v>Lama Hari Rawat Non JKN</x:v>
      </x:c>
      <x:c r="B11" s="9">
        <x:v>0</x:v>
      </x:c>
    </x:row>
    <x:row r="12" ht="28" customHeight="1">
      <x:c r="A12" s="3" t="str">
        <x:v>Jumlah SDM Dokter</x:v>
      </x:c>
      <x:c r="B12" s="9">
        <x:v>0</x:v>
      </x:c>
    </x:row>
    <x:row r="13" ht="28" customHeight="1">
      <x:c r="A13" s="3" t="str">
        <x:v>Jumlah SDM Nakes</x:v>
      </x:c>
      <x:c r="B13" s="9">
        <x:v>0</x:v>
      </x:c>
    </x:row>
    <x:row r="14" ht="28" customHeight="1">
      <x:c r="A14" s="3" t="str">
        <x:v>Jumlah SDM Non Nakes</x:v>
      </x:c>
      <x:c r="B14" s="9">
        <x:v>0</x:v>
      </x:c>
    </x:row>
    <x:row r="15" ht="28" customHeight="1">
      <x:c r="A15" s="3" t="str">
        <x:v>Biaya Gaji</x:v>
      </x:c>
      <x:c r="B15" s="9">
        <x:v>0</x:v>
      </x:c>
    </x:row>
    <x:row r="16" ht="28" customHeight="1">
      <x:c r="A16" s="3" t="str">
        <x:v>Biaya Jasa/Remunerasi</x:v>
      </x:c>
      <x:c r="B16" s="9">
        <x:v>0</x:v>
      </x:c>
    </x:row>
    <x:row r="17" ht="28" customHeight="1">
      <x:c r="A17" s="3" t="str">
        <x:v>Biaya Operasional Lainnya</x:v>
      </x:c>
      <x:c r="B17" s="9">
        <x:v>0</x:v>
      </x:c>
    </x:row>
    <x:row r="18" ht="28" customHeight="1">
      <x:c r="A18" s="3" t="str">
        <x:v>Biaya Penyusutan</x:v>
      </x:c>
      <x:c r="B18" s="9">
        <x:v>0</x:v>
      </x:c>
    </x:row>
    <x:row r="19" ht="28" customHeight="1">
      <x:c r="A19" s="3" t="str">
        <x:v>Pendapatan Fungsional JKN</x:v>
      </x:c>
      <x:c r="B19" s="9">
        <x:v>0</x:v>
      </x:c>
    </x:row>
    <x:row r="20" ht="28" customHeight="1">
      <x:c r="A20" s="3" t="str">
        <x:v>Pendapatan Fungsional Non JKN</x:v>
      </x:c>
      <x:c r="B20" s="9">
        <x:v>0</x:v>
      </x:c>
    </x:row>
    <x:row r="21" ht="28" customHeight="1">
      <x:c r="A21" s="3" t="str">
        <x:v>Pendapatan Lainnya</x:v>
      </x:c>
      <x:c r="B21" s="9">
        <x:v>0</x:v>
      </x:c>
    </x:row>
    <x:row r="22" ht="28" customHeight="1">
      <x:c r="A22" s="3" t="str">
        <x:v>Subsidi/Pendanaan Pemerintah</x:v>
      </x:c>
      <x:c r="B22" s="9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27.780000686645508" hidden="0" customWidth="1"/>
    <x:col min="2" max="2" width="17.219999313354492" hidden="0" customWidth="1"/>
    <x:col min="3" max="3" width="17.219999313354492" hidden="0" customWidth="1"/>
    <x:col min="4" max="4" width="17.219999313354492" hidden="0" customWidth="1"/>
    <x:col min="5" max="5" width="17.219999313354492" hidden="0" customWidth="1"/>
    <x:col min="6" max="6" width="18.889999389648438" hidden="0" customWidth="1"/>
    <x:col min="7" max="7" width="18.889999389648438" hidden="0" customWidth="1"/>
  </x:cols>
  <x:sheetData>
    <x:row r="1" ht="38" customHeight="1">
      <x:c r="A1" s="7" t="str">
        <x:v>DATA OPERASIONAL RS</x:v>
      </x:c>
      <x:c r="B1" s="7" t="str">
        <x:v>Kunjungan JKN</x:v>
      </x:c>
      <x:c r="C1" s="7" t="str">
        <x:v>Kunjungan Non-JKN</x:v>
      </x:c>
      <x:c r="D1" s="7" t="str">
        <x:v>Hari Rawat JKN</x:v>
      </x:c>
      <x:c r="E1" s="7" t="str">
        <x:v>Hari Rawat Non-JKN</x:v>
      </x:c>
      <x:c r="F1" s="7" t="str">
        <x:v>Total Kunjungan (Otomatis)</x:v>
      </x:c>
      <x:c r="G1" s="7" t="str">
        <x:v>Total Hari Rawat (Otomatis)</x:v>
      </x:c>
    </x:row>
    <x:row r="2" ht="28" customHeight="1">
      <x:c r="A2" s="3" t="str">
        <x:v>Kamar Kelas III</x:v>
      </x:c>
      <x:c r="B2" s="9">
        <x:v>0</x:v>
      </x:c>
      <x:c r="C2" s="9">
        <x:v>0</x:v>
      </x:c>
      <x:c r="D2" s="9">
        <x:v>0</x:v>
      </x:c>
      <x:c r="E2" s="9">
        <x:v>0</x:v>
      </x:c>
      <x:c r="F2" s="11" t="n">
        <x:f>B2+C2</x:f>
        <x:v>0</x:v>
      </x:c>
      <x:c r="G2" s="11" t="n">
        <x:f>D2+E2</x:f>
        <x:v>0</x:v>
      </x:c>
    </x:row>
    <x:row r="3" ht="28" customHeight="1">
      <x:c r="A3" s="3" t="str">
        <x:v>Kamar Kelas II</x:v>
      </x:c>
      <x:c r="B3" s="9">
        <x:v>0</x:v>
      </x:c>
      <x:c r="C3" s="9">
        <x:v>0</x:v>
      </x:c>
      <x:c r="D3" s="9">
        <x:v>0</x:v>
      </x:c>
      <x:c r="E3" s="9">
        <x:v>0</x:v>
      </x:c>
      <x:c r="F3" s="11" t="n">
        <x:f>B3+C3</x:f>
        <x:v>0</x:v>
      </x:c>
      <x:c r="G3" s="11" t="n">
        <x:f>D3+E3</x:f>
        <x:v>0</x:v>
      </x:c>
    </x:row>
    <x:row r="4" ht="28" customHeight="1">
      <x:c r="A4" s="3" t="str">
        <x:v>Kamar Kelas I</x:v>
      </x:c>
      <x:c r="B4" s="9">
        <x:v>0</x:v>
      </x:c>
      <x:c r="C4" s="9">
        <x:v>0</x:v>
      </x:c>
      <x:c r="D4" s="9">
        <x:v>0</x:v>
      </x:c>
      <x:c r="E4" s="9">
        <x:v>0</x:v>
      </x:c>
      <x:c r="F4" s="11" t="n">
        <x:f>B4+C4</x:f>
        <x:v>0</x:v>
      </x:c>
      <x:c r="G4" s="11" t="n">
        <x:f>D4+E4</x:f>
        <x:v>0</x:v>
      </x:c>
    </x:row>
    <x:row r="5" ht="28" customHeight="1">
      <x:c r="A5" s="3" t="str">
        <x:v>Kamar VIP/VVIP/Suite</x:v>
      </x:c>
      <x:c r="B5" s="9">
        <x:v>0</x:v>
      </x:c>
      <x:c r="C5" s="9">
        <x:v>0</x:v>
      </x:c>
      <x:c r="D5" s="9">
        <x:v>0</x:v>
      </x:c>
      <x:c r="E5" s="9">
        <x:v>0</x:v>
      </x:c>
      <x:c r="F5" s="11" t="n">
        <x:f>B5+C5</x:f>
        <x:v>0</x:v>
      </x:c>
      <x:c r="G5" s="11" t="n">
        <x:f>D5+E5</x:f>
        <x:v>0</x:v>
      </x:c>
    </x:row>
    <x:row r="6" ht="28" customHeight="1">
      <x:c r="A6" s="3" t="str">
        <x:v>Kamar ICU/ICCU/NICU/PICU/HCU</x:v>
      </x:c>
      <x:c r="B6" s="9">
        <x:v>0</x:v>
      </x:c>
      <x:c r="C6" s="9">
        <x:v>0</x:v>
      </x:c>
      <x:c r="D6" s="9">
        <x:v>0</x:v>
      </x:c>
      <x:c r="E6" s="9">
        <x:v>0</x:v>
      </x:c>
      <x:c r="F6" s="11" t="n">
        <x:f>B6+C6</x:f>
        <x:v>0</x:v>
      </x:c>
      <x:c r="G6" s="11" t="n">
        <x:f>D6+E6</x:f>
        <x:v>0</x:v>
      </x:c>
    </x:row>
    <x:row r="7" ht="28" customHeight="1">
      <x:c r="A7" s="3" t="str">
        <x:v>Kamar Perawatan Khusus Lainnya</x:v>
      </x:c>
      <x:c r="B7" s="9">
        <x:v>0</x:v>
      </x:c>
      <x:c r="C7" s="9">
        <x:v>0</x:v>
      </x:c>
      <x:c r="D7" s="9">
        <x:v>0</x:v>
      </x:c>
      <x:c r="E7" s="9">
        <x:v>0</x:v>
      </x:c>
      <x:c r="F7" s="11" t="n">
        <x:f>B7+C7</x:f>
        <x:v>0</x:v>
      </x:c>
      <x:c r="G7" s="11" t="n">
        <x:f>D7+E7</x:f>
        <x:v>0</x:v>
      </x:c>
    </x:row>
    <x:row r="8" ht="28" customHeight="1">
      <x:c r="A8" s="3" t="str">
        <x:v>Instalasi Gawat Darurat (IGD)</x:v>
      </x:c>
      <x:c r="B8" s="9">
        <x:v>0</x:v>
      </x:c>
      <x:c r="C8" s="9">
        <x:v>0</x:v>
      </x:c>
      <x:c r="D8" s="9">
        <x:v>0</x:v>
      </x:c>
      <x:c r="E8" s="9">
        <x:v>0</x:v>
      </x:c>
      <x:c r="F8" s="11" t="n">
        <x:f>B8+C8</x:f>
        <x:v>0</x:v>
      </x:c>
      <x:c r="G8" s="11" t="n">
        <x:f>D8+E8</x:f>
        <x:v>0</x:v>
      </x:c>
    </x:row>
    <x:row r="9" ht="28" customHeight="1">
      <x:c r="A9" s="3" t="str">
        <x:v>Poliklinik Penyakit Dalam</x:v>
      </x:c>
      <x:c r="B9" s="9">
        <x:v>0</x:v>
      </x:c>
      <x:c r="C9" s="9">
        <x:v>0</x:v>
      </x:c>
      <x:c r="D9" s="9">
        <x:v>0</x:v>
      </x:c>
      <x:c r="E9" s="9">
        <x:v>0</x:v>
      </x:c>
      <x:c r="F9" s="11" t="n">
        <x:f>B9+C9</x:f>
        <x:v>0</x:v>
      </x:c>
      <x:c r="G9" s="11" t="n">
        <x:f>D9+E9</x:f>
        <x:v>0</x:v>
      </x:c>
    </x:row>
    <x:row r="10" ht="28" customHeight="1">
      <x:c r="A10" s="3" t="str">
        <x:v>Poliklinik Jantung dan Pembuluh Darah</x:v>
      </x:c>
      <x:c r="B10" s="9">
        <x:v>0</x:v>
      </x:c>
      <x:c r="C10" s="9">
        <x:v>0</x:v>
      </x:c>
      <x:c r="D10" s="9">
        <x:v>0</x:v>
      </x:c>
      <x:c r="E10" s="9">
        <x:v>0</x:v>
      </x:c>
      <x:c r="F10" s="11" t="n">
        <x:f>B10+C10</x:f>
        <x:v>0</x:v>
      </x:c>
      <x:c r="G10" s="11" t="n">
        <x:f>D10+E10</x:f>
        <x:v>0</x:v>
      </x:c>
    </x:row>
    <x:row r="11" ht="28" customHeight="1">
      <x:c r="A11" s="3" t="str">
        <x:v>Poliklinik Obstetri dan Ginekologi</x:v>
      </x:c>
      <x:c r="B11" s="9">
        <x:v>0</x:v>
      </x:c>
      <x:c r="C11" s="9">
        <x:v>0</x:v>
      </x:c>
      <x:c r="D11" s="9">
        <x:v>0</x:v>
      </x:c>
      <x:c r="E11" s="9">
        <x:v>0</x:v>
      </x:c>
      <x:c r="F11" s="11" t="n">
        <x:f>B11+C11</x:f>
        <x:v>0</x:v>
      </x:c>
      <x:c r="G11" s="11" t="n">
        <x:f>D11+E11</x:f>
        <x:v>0</x:v>
      </x:c>
    </x:row>
    <x:row r="12" ht="28" customHeight="1">
      <x:c r="A12" s="3" t="str">
        <x:v>Poliklinik Bedah</x:v>
      </x:c>
      <x:c r="B12" s="9">
        <x:v>0</x:v>
      </x:c>
      <x:c r="C12" s="9">
        <x:v>0</x:v>
      </x:c>
      <x:c r="D12" s="9">
        <x:v>0</x:v>
      </x:c>
      <x:c r="E12" s="9">
        <x:v>0</x:v>
      </x:c>
      <x:c r="F12" s="11" t="n">
        <x:f>B12+C12</x:f>
        <x:v>0</x:v>
      </x:c>
      <x:c r="G12" s="11" t="n">
        <x:f>D12+E12</x:f>
        <x:v>0</x:v>
      </x:c>
    </x:row>
    <x:row r="13" ht="28" customHeight="1">
      <x:c r="A13" s="3" t="str">
        <x:v>Poliklinik Paru</x:v>
      </x:c>
      <x:c r="B13" s="9">
        <x:v>0</x:v>
      </x:c>
      <x:c r="C13" s="9">
        <x:v>0</x:v>
      </x:c>
      <x:c r="D13" s="9">
        <x:v>0</x:v>
      </x:c>
      <x:c r="E13" s="9">
        <x:v>0</x:v>
      </x:c>
      <x:c r="F13" s="11" t="n">
        <x:f>B13+C13</x:f>
        <x:v>0</x:v>
      </x:c>
      <x:c r="G13" s="11" t="n">
        <x:f>D13+E13</x:f>
        <x:v>0</x:v>
      </x:c>
    </x:row>
    <x:row r="14" ht="28" customHeight="1">
      <x:c r="A14" s="3" t="str">
        <x:v>Poliklinik Anak</x:v>
      </x:c>
      <x:c r="B14" s="9">
        <x:v>0</x:v>
      </x:c>
      <x:c r="C14" s="9">
        <x:v>0</x:v>
      </x:c>
      <x:c r="D14" s="9">
        <x:v>0</x:v>
      </x:c>
      <x:c r="E14" s="9">
        <x:v>0</x:v>
      </x:c>
      <x:c r="F14" s="11" t="n">
        <x:f>B14+C14</x:f>
        <x:v>0</x:v>
      </x:c>
      <x:c r="G14" s="11" t="n">
        <x:f>D14+E14</x:f>
        <x:v>0</x:v>
      </x:c>
    </x:row>
    <x:row r="15" ht="28" customHeight="1">
      <x:c r="A15" s="3" t="str">
        <x:v>Poliklinik Mata</x:v>
      </x:c>
      <x:c r="B15" s="9">
        <x:v>0</x:v>
      </x:c>
      <x:c r="C15" s="9">
        <x:v>0</x:v>
      </x:c>
      <x:c r="D15" s="9">
        <x:v>0</x:v>
      </x:c>
      <x:c r="E15" s="9">
        <x:v>0</x:v>
      </x:c>
      <x:c r="F15" s="11" t="n">
        <x:f>B15+C15</x:f>
        <x:v>0</x:v>
      </x:c>
      <x:c r="G15" s="11" t="n">
        <x:f>D15+E15</x:f>
        <x:v>0</x:v>
      </x:c>
    </x:row>
    <x:row r="16" ht="28" customHeight="1">
      <x:c r="A16" s="3" t="str">
        <x:v>Poliklinik THT</x:v>
      </x:c>
      <x:c r="B16" s="9">
        <x:v>0</x:v>
      </x:c>
      <x:c r="C16" s="9">
        <x:v>0</x:v>
      </x:c>
      <x:c r="D16" s="9">
        <x:v>0</x:v>
      </x:c>
      <x:c r="E16" s="9">
        <x:v>0</x:v>
      </x:c>
      <x:c r="F16" s="11" t="n">
        <x:f>B16+C16</x:f>
        <x:v>0</x:v>
      </x:c>
      <x:c r="G16" s="11" t="n">
        <x:f>D16+E16</x:f>
        <x:v>0</x:v>
      </x:c>
    </x:row>
    <x:row r="17" ht="28" customHeight="1">
      <x:c r="A17" s="3" t="str">
        <x:v>Poliklinik Psikiatri</x:v>
      </x:c>
      <x:c r="B17" s="9">
        <x:v>0</x:v>
      </x:c>
      <x:c r="C17" s="9">
        <x:v>0</x:v>
      </x:c>
      <x:c r="D17" s="9">
        <x:v>0</x:v>
      </x:c>
      <x:c r="E17" s="9">
        <x:v>0</x:v>
      </x:c>
      <x:c r="F17" s="11" t="n">
        <x:f>B17+C17</x:f>
        <x:v>0</x:v>
      </x:c>
      <x:c r="G17" s="11" t="n">
        <x:f>D17+E17</x:f>
        <x:v>0</x:v>
      </x:c>
    </x:row>
    <x:row r="18" ht="28" customHeight="1">
      <x:c r="A18" s="3" t="str">
        <x:v>Poliklinik Gigi &amp; Mulut</x:v>
      </x:c>
      <x:c r="B18" s="9">
        <x:v>0</x:v>
      </x:c>
      <x:c r="C18" s="9">
        <x:v>0</x:v>
      </x:c>
      <x:c r="D18" s="9">
        <x:v>0</x:v>
      </x:c>
      <x:c r="E18" s="9">
        <x:v>0</x:v>
      </x:c>
      <x:c r="F18" s="11" t="n">
        <x:f>B18+C18</x:f>
        <x:v>0</x:v>
      </x:c>
      <x:c r="G18" s="11" t="n">
        <x:f>D18+E18</x:f>
        <x:v>0</x:v>
      </x:c>
    </x:row>
    <x:row r="19" ht="28" customHeight="1">
      <x:c r="A19" s="3" t="str">
        <x:v>Poliklinik Kulit &amp; Kelamin</x:v>
      </x:c>
      <x:c r="B19" s="9">
        <x:v>0</x:v>
      </x:c>
      <x:c r="C19" s="9">
        <x:v>0</x:v>
      </x:c>
      <x:c r="D19" s="9">
        <x:v>0</x:v>
      </x:c>
      <x:c r="E19" s="9">
        <x:v>0</x:v>
      </x:c>
      <x:c r="F19" s="11" t="n">
        <x:f>B19+C19</x:f>
        <x:v>0</x:v>
      </x:c>
      <x:c r="G19" s="11" t="n">
        <x:f>D19+E19</x:f>
        <x:v>0</x:v>
      </x:c>
    </x:row>
    <x:row r="20" ht="28" customHeight="1">
      <x:c r="A20" s="3" t="str">
        <x:v>Poliklinik Saraf</x:v>
      </x:c>
      <x:c r="B20" s="9">
        <x:v>0</x:v>
      </x:c>
      <x:c r="C20" s="9">
        <x:v>0</x:v>
      </x:c>
      <x:c r="D20" s="9">
        <x:v>0</x:v>
      </x:c>
      <x:c r="E20" s="9">
        <x:v>0</x:v>
      </x:c>
      <x:c r="F20" s="11" t="n">
        <x:f>B20+C20</x:f>
        <x:v>0</x:v>
      </x:c>
      <x:c r="G20" s="11" t="n">
        <x:f>D20+E20</x:f>
        <x:v>0</x:v>
      </x:c>
    </x:row>
    <x:row r="21" ht="28" customHeight="1">
      <x:c r="A21" s="3" t="str">
        <x:v>Poliklinik Orthopedi</x:v>
      </x:c>
      <x:c r="B21" s="9">
        <x:v>0</x:v>
      </x:c>
      <x:c r="C21" s="9">
        <x:v>0</x:v>
      </x:c>
      <x:c r="D21" s="9">
        <x:v>0</x:v>
      </x:c>
      <x:c r="E21" s="9">
        <x:v>0</x:v>
      </x:c>
      <x:c r="F21" s="11" t="n">
        <x:f>B21+C21</x:f>
        <x:v>0</x:v>
      </x:c>
      <x:c r="G21" s="11" t="n">
        <x:f>D21+E21</x:f>
        <x:v>0</x:v>
      </x:c>
    </x:row>
    <x:row r="22" ht="28" customHeight="1">
      <x:c r="A22" s="3" t="str">
        <x:v>Poliklinik Urologi</x:v>
      </x:c>
      <x:c r="B22" s="9">
        <x:v>0</x:v>
      </x:c>
      <x:c r="C22" s="9">
        <x:v>0</x:v>
      </x:c>
      <x:c r="D22" s="9">
        <x:v>0</x:v>
      </x:c>
      <x:c r="E22" s="9">
        <x:v>0</x:v>
      </x:c>
      <x:c r="F22" s="11" t="n">
        <x:f>B22+C22</x:f>
        <x:v>0</x:v>
      </x:c>
      <x:c r="G22" s="11" t="n">
        <x:f>D22+E22</x:f>
        <x:v>0</x:v>
      </x:c>
    </x:row>
    <x:row r="23" ht="28" customHeight="1">
      <x:c r="A23" s="3" t="str">
        <x:v>Hemodialisa</x:v>
      </x:c>
      <x:c r="B23" s="9">
        <x:v>0</x:v>
      </x:c>
      <x:c r="C23" s="9">
        <x:v>0</x:v>
      </x:c>
      <x:c r="D23" s="9">
        <x:v>0</x:v>
      </x:c>
      <x:c r="E23" s="9">
        <x:v>0</x:v>
      </x:c>
      <x:c r="F23" s="11" t="n">
        <x:f>B23+C23</x:f>
        <x:v>0</x:v>
      </x:c>
      <x:c r="G23" s="11" t="n">
        <x:f>D23+E23</x:f>
        <x:v>0</x:v>
      </x:c>
    </x:row>
    <x:row r="24" ht="28" customHeight="1">
      <x:c r="A24" s="3" t="str">
        <x:v>Medical Check Up (MCU)</x:v>
      </x:c>
      <x:c r="B24" s="9">
        <x:v>0</x:v>
      </x:c>
      <x:c r="C24" s="9">
        <x:v>0</x:v>
      </x:c>
      <x:c r="D24" s="9">
        <x:v>0</x:v>
      </x:c>
      <x:c r="E24" s="9">
        <x:v>0</x:v>
      </x:c>
      <x:c r="F24" s="11" t="n">
        <x:f>B24+C24</x:f>
        <x:v>0</x:v>
      </x:c>
      <x:c r="G24" s="11" t="n">
        <x:f>D24+E24</x:f>
        <x:v>0</x:v>
      </x:c>
    </x:row>
    <x:row r="25" ht="28" customHeight="1">
      <x:c r="A25" s="3" t="str">
        <x:v>Telemedicine</x:v>
      </x:c>
      <x:c r="B25" s="9">
        <x:v>0</x:v>
      </x:c>
      <x:c r="C25" s="9">
        <x:v>0</x:v>
      </x:c>
      <x:c r="D25" s="9">
        <x:v>0</x:v>
      </x:c>
      <x:c r="E25" s="9">
        <x:v>0</x:v>
      </x:c>
      <x:c r="F25" s="11" t="n">
        <x:f>B25+C25</x:f>
        <x:v>0</x:v>
      </x:c>
      <x:c r="G25" s="11" t="n">
        <x:f>D25+E25</x:f>
        <x:v>0</x:v>
      </x:c>
    </x:row>
    <x:row r="26" ht="28" customHeight="1">
      <x:c r="A26" s="3" t="str">
        <x:v>Day Care</x:v>
      </x:c>
      <x:c r="B26" s="9">
        <x:v>0</x:v>
      </x:c>
      <x:c r="C26" s="9">
        <x:v>0</x:v>
      </x:c>
      <x:c r="D26" s="9">
        <x:v>0</x:v>
      </x:c>
      <x:c r="E26" s="9">
        <x:v>0</x:v>
      </x:c>
      <x:c r="F26" s="11" t="n">
        <x:f>B26+C26</x:f>
        <x:v>0</x:v>
      </x:c>
      <x:c r="G26" s="11" t="n">
        <x:f>D26+E26</x:f>
        <x:v>0</x:v>
      </x:c>
    </x:row>
    <x:row r="27" ht="28" customHeight="1">
      <x:c r="A27" s="3" t="str">
        <x:v>Home Care</x:v>
      </x:c>
      <x:c r="B27" s="9">
        <x:v>0</x:v>
      </x:c>
      <x:c r="C27" s="9">
        <x:v>0</x:v>
      </x:c>
      <x:c r="D27" s="9">
        <x:v>0</x:v>
      </x:c>
      <x:c r="E27" s="9">
        <x:v>0</x:v>
      </x:c>
      <x:c r="F27" s="11" t="n">
        <x:f>B27+C27</x:f>
        <x:v>0</x:v>
      </x:c>
      <x:c r="G27" s="11" t="n">
        <x:f>D27+E27</x:f>
        <x:v>0</x:v>
      </x:c>
    </x:row>
    <x:row r="28" ht="28" customHeight="1">
      <x:c r="A28" s="3" t="str">
        <x:v>TOTAL DATA OPERASIONAL</x:v>
      </x:c>
      <x:c r="B28" s="11" t="n">
        <x:f>SUM(B2:B27)</x:f>
        <x:v>0</x:v>
      </x:c>
      <x:c r="C28" s="11" t="n">
        <x:f>SUM(C2:C27)</x:f>
        <x:v>0</x:v>
      </x:c>
      <x:c r="D28" s="11" t="n">
        <x:f>SUM(D2:D27)</x:f>
        <x:v>0</x:v>
      </x:c>
      <x:c r="E28" s="11" t="n">
        <x:f>SUM(E2:E27)</x:f>
        <x:v>0</x:v>
      </x:c>
      <x:c r="F28" s="11" t="n">
        <x:f>SUM(F2:F27)</x:f>
        <x:v>0</x:v>
      </x:c>
      <x:c r="G28" s="11" t="n">
        <x:f>SUM(G2:G27)</x:f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cols>
    <x:col min="1" max="1" width="5.329999923706055" hidden="0" customWidth="1"/>
    <x:col min="2" max="2" width="26.110000610351562" hidden="0" customWidth="1"/>
    <x:col min="3" max="3" width="17.219999313354492" hidden="0" customWidth="1"/>
    <x:col min="4" max="4" width="12.220000267028809" hidden="0" customWidth="1"/>
    <x:col min="5" max="5" width="13.329999923706055" hidden="0" customWidth="1"/>
    <x:col min="6" max="6" width="13.329999923706055" hidden="0" customWidth="1"/>
    <x:col min="7" max="7" width="14.4399995803833" hidden="0" customWidth="1"/>
    <x:col min="8" max="8" width="9.4399995803833" hidden="0" customWidth="1"/>
    <x:col min="9" max="9" width="14.4399995803833" hidden="0" customWidth="1"/>
    <x:col min="10" max="10" width="16.670000076293945" hidden="0" customWidth="1"/>
    <x:col min="11" max="11" width="16.670000076293945" hidden="0" customWidth="1"/>
    <x:col min="12" max="12" width="16.670000076293945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4.4399995803833" hidden="0" customWidth="1"/>
    <x:col min="19" max="19" width="16.670000076293945" hidden="0" customWidth="1"/>
    <x:col min="20" max="20" width="17.219999313354492" hidden="0" customWidth="1"/>
  </x:cols>
  <x:sheetData>
    <x:row r="1" ht="38" customHeight="1">
      <x:c r="A1" s="7" t="str">
        <x:v>TEMPLATE INPUT DATA COSTING RS</x:v>
      </x:c>
      <x:c r="B1" s="7" t="str"/>
      <x:c r="C1" s="7" t="str"/>
      <x:c r="D1" s="7" t="str"/>
      <x:c r="E1" s="7" t="str"/>
      <x:c r="F1" s="7" t="str"/>
      <x:c r="G1" s="7" t="str"/>
      <x:c r="H1" s="7" t="str"/>
      <x:c r="I1" s="7" t="str"/>
      <x:c r="J1" s="7" t="str"/>
      <x:c r="K1" s="7"/>
      <x:c r="L1" s="7"/>
      <x:c r="M1" s="7"/>
      <x:c r="N1" s="7"/>
      <x:c r="O1" s="7"/>
      <x:c r="P1" s="7"/>
      <x:c r="Q1" s="7"/>
      <x:c r="R1" s="7"/>
      <x:c r="S1" s="7"/>
    </x:row>
    <x:row r="2" ht="28" customHeight="1">
      <x:c r="A2" s="3" t="str">
        <x:v>Tahun Data:</x:v>
      </x:c>
      <x:c r="B2" s="3">
        <x:v>2026</x:v>
      </x:c>
      <x:c r="C2" s="3" t="str"/>
      <x:c r="D2" s="3" t="str"/>
      <x:c r="E2" s="3" t="str"/>
      <x:c r="F2" s="3" t="str"/>
      <x:c r="G2" s="3" t="str"/>
      <x:c r="H2" s="3" t="str"/>
      <x:c r="I2" s="3" t="str"/>
      <x:c r="J2" s="3" t="str">
        <x:v>Tipe RS:</x:v>
      </x:c>
      <x:c r="K2" s="3" t="str">
        <x:v>B</x:v>
      </x:c>
      <x:c r="L2" s="3" t="str"/>
      <x:c r="M2" s="3" t="str">
        <x:v>Kepemilikan:</x:v>
      </x:c>
      <x:c r="N2" s="3" t="str">
        <x:v>Pemerintah Daerah</x:v>
      </x:c>
      <x:c r="O2" s="3"/>
      <x:c r="P2" s="3"/>
      <x:c r="Q2" s="3"/>
      <x:c r="R2" s="3"/>
      <x:c r="S2" s="3"/>
    </x:row>
    <x:row r="3" ht="28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</x:row>
    <x:row r="4" ht="38" customHeight="1">
      <x:c r="A4" s="7" t="str">
        <x:v>A. PUSAT BIAYA PENUNJANG UMUM (OVERHEAD)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  <x:c r="P4" s="7"/>
      <x:c r="Q4" s="7"/>
      <x:c r="R4" s="7"/>
      <x:c r="S4" s="7"/>
    </x:row>
    <x:row r="5" ht="65" customHeight="1">
      <x:c r="A5" s="7" t="str">
        <x:v>No</x:v>
      </x:c>
      <x:c r="B5" s="7" t="str">
        <x:v>Nama Unit / Pusat Biaya</x:v>
      </x:c>
      <x:c r="C5" s="7" t="str">
        <x:v>Dasar Alokasi</x:v>
      </x:c>
      <x:c r="D5" s="7" t="str">
        <x:v>Jumlah Staf</x:v>
      </x:c>
      <x:c r="E5" s="7" t="str">
        <x:v>Hari Rawat</x:v>
      </x:c>
      <x:c r="F5" s="7" t="str">
        <x:v>Pasien Pulang</x:v>
      </x:c>
      <x:c r="G5" s="7" t="str">
        <x:v>Jml Kunjungan</x:v>
      </x:c>
      <x:c r="H5" s="7" t="str">
        <x:v>ALOS</x:v>
      </x:c>
      <x:c r="I5" s="7" t="str">
        <x:v>Jml Tempat Tidur</x:v>
      </x:c>
      <x:c r="J5" s="7" t="str">
        <x:v>Biaya Gaji</x:v>
      </x:c>
      <x:c r="K5" s="7" t="str">
        <x:v>Biaya Jasa Medis</x:v>
      </x:c>
      <x:c r="L5" s="7" t="str">
        <x:v>Biaya Jasa Medis Lain</x:v>
      </x:c>
      <x:c r="M5" s="7" t="str">
        <x:v>Biaya Operasional</x:v>
      </x:c>
      <x:c r="N5" s="7" t="str">
        <x:v>Nilai Alat</x:v>
      </x:c>
      <x:c r="O5" s="7" t="str">
        <x:v>Investasi Gedung</x:v>
      </x:c>
      <x:c r="P5" s="7" t="str">
        <x:v>Dep. Peralatan (Otomatis)</x:v>
      </x:c>
      <x:c r="Q5" s="7" t="str">
        <x:v>Dep. Gedung (Otomatis)</x:v>
      </x:c>
      <x:c r="R5" s="7" t="str">
        <x:v>Luas Lantai (m²)</x:v>
      </x:c>
      <x:c r="S5" s="7" t="str">
        <x:v>Total Biaya Langsung (Otomatis)</x:v>
      </x:c>
    </x:row>
    <x:row r="6" ht="28" customHeight="1">
      <x:c r="A6" s="3">
        <x:v>1</x:v>
      </x:c>
      <x:c r="B6" s="3" t="str">
        <x:v>Manajemen &amp; Administrasi</x:v>
      </x:c>
      <x:c r="C6" s="9" t="str">
        <x:v>jumlah_staf</x:v>
      </x:c>
      <x:c r="D6" s="9">
        <x:v>0</x:v>
      </x:c>
      <x:c r="E6" s="9">
        <x:v>0</x:v>
      </x:c>
      <x:c r="F6" s="9">
        <x:v>0</x:v>
      </x:c>
      <x:c r="G6" s="9">
        <x:v>0</x:v>
      </x:c>
      <x:c r="H6" s="9">
        <x:v>0</x:v>
      </x:c>
      <x:c r="I6" s="9">
        <x:v>0</x:v>
      </x:c>
      <x:c r="J6" s="9">
        <x:v>0</x:v>
      </x:c>
      <x:c r="K6" s="9">
        <x:v>0</x:v>
      </x:c>
      <x:c r="L6" s="9">
        <x:v>0</x:v>
      </x:c>
      <x:c r="M6" s="9">
        <x:v>0</x:v>
      </x:c>
      <x:c r="N6" s="9">
        <x:v>0</x:v>
      </x:c>
      <x:c r="O6" s="9">
        <x:v>0</x:v>
      </x:c>
      <x:c r="P6" s="11" t="n">
        <x:f>N6/5</x:f>
        <x:v>0</x:v>
      </x:c>
      <x:c r="Q6" s="11" t="n">
        <x:f>O6/40</x:f>
        <x:v>0</x:v>
      </x:c>
      <x:c r="R6" s="9">
        <x:v>0</x:v>
      </x:c>
      <x:c r="S6" s="11" t="n">
        <x:f>J6+K6+L6+M6+P6+Q6</x:f>
        <x:v>0</x:v>
      </x:c>
    </x:row>
    <x:row r="7" ht="28" customHeight="1">
      <x:c r="A7" s="3">
        <x:v>2</x:v>
      </x:c>
      <x:c r="B7" s="3" t="str">
        <x:v>Komite &amp; Pengawasan</x:v>
      </x:c>
      <x:c r="C7" s="9" t="str">
        <x:v>jumlah_staf</x:v>
      </x:c>
      <x:c r="D7" s="9">
        <x:v>0</x:v>
      </x:c>
      <x:c r="E7" s="9">
        <x:v>0</x:v>
      </x:c>
      <x:c r="F7" s="9">
        <x:v>0</x:v>
      </x:c>
      <x:c r="G7" s="9">
        <x:v>0</x:v>
      </x:c>
      <x:c r="H7" s="9">
        <x:v>0</x:v>
      </x:c>
      <x:c r="I7" s="9">
        <x:v>0</x:v>
      </x:c>
      <x:c r="J7" s="9">
        <x:v>0</x:v>
      </x:c>
      <x:c r="K7" s="9">
        <x:v>0</x:v>
      </x:c>
      <x:c r="L7" s="9">
        <x:v>0</x:v>
      </x:c>
      <x:c r="M7" s="9">
        <x:v>0</x:v>
      </x:c>
      <x:c r="N7" s="9">
        <x:v>0</x:v>
      </x:c>
      <x:c r="O7" s="9">
        <x:v>0</x:v>
      </x:c>
      <x:c r="P7" s="11" t="n">
        <x:f>N7/5</x:f>
        <x:v>0</x:v>
      </x:c>
      <x:c r="Q7" s="11" t="n">
        <x:f>O7/40</x:f>
        <x:v>0</x:v>
      </x:c>
      <x:c r="R7" s="9">
        <x:v>0</x:v>
      </x:c>
      <x:c r="S7" s="11" t="n">
        <x:f>J7+K7+L7+M7+P7+Q7</x:f>
        <x:v>0</x:v>
      </x:c>
    </x:row>
    <x:row r="8" ht="28" customHeight="1">
      <x:c r="A8" s="3">
        <x:v>3</x:v>
      </x:c>
      <x:c r="B8" s="3" t="str">
        <x:v>Teknologi Informasi</x:v>
      </x:c>
      <x:c r="C8" s="9" t="str">
        <x:v>jumlah_staf</x:v>
      </x:c>
      <x:c r="D8" s="9">
        <x:v>0</x:v>
      </x:c>
      <x:c r="E8" s="9">
        <x:v>0</x:v>
      </x:c>
      <x:c r="F8" s="9">
        <x:v>0</x:v>
      </x:c>
      <x:c r="G8" s="9">
        <x:v>0</x:v>
      </x:c>
      <x:c r="H8" s="9">
        <x:v>0</x:v>
      </x:c>
      <x:c r="I8" s="9">
        <x:v>0</x:v>
      </x:c>
      <x:c r="J8" s="9">
        <x:v>0</x:v>
      </x:c>
      <x:c r="K8" s="9">
        <x:v>0</x:v>
      </x:c>
      <x:c r="L8" s="9">
        <x:v>0</x:v>
      </x:c>
      <x:c r="M8" s="9">
        <x:v>0</x:v>
      </x:c>
      <x:c r="N8" s="9">
        <x:v>0</x:v>
      </x:c>
      <x:c r="O8" s="9">
        <x:v>0</x:v>
      </x:c>
      <x:c r="P8" s="11" t="n">
        <x:f>N8/5</x:f>
        <x:v>0</x:v>
      </x:c>
      <x:c r="Q8" s="11" t="n">
        <x:f>O8/40</x:f>
        <x:v>0</x:v>
      </x:c>
      <x:c r="R8" s="9">
        <x:v>0</x:v>
      </x:c>
      <x:c r="S8" s="11" t="n">
        <x:f>J8+K8+L8+M8+P8+Q8</x:f>
        <x:v>0</x:v>
      </x:c>
    </x:row>
    <x:row r="9" ht="28" customHeight="1">
      <x:c r="A9" s="3">
        <x:v>4</x:v>
      </x:c>
      <x:c r="B9" s="3" t="str">
        <x:v>Pendidikan &amp; Penelitian</x:v>
      </x:c>
      <x:c r="C9" s="9" t="str">
        <x:v>jumlah_staf</x:v>
      </x:c>
      <x:c r="D9" s="9">
        <x:v>0</x:v>
      </x:c>
      <x:c r="E9" s="9">
        <x:v>0</x:v>
      </x:c>
      <x:c r="F9" s="9">
        <x:v>0</x:v>
      </x:c>
      <x:c r="G9" s="9">
        <x:v>0</x:v>
      </x:c>
      <x:c r="H9" s="9">
        <x:v>0</x:v>
      </x:c>
      <x:c r="I9" s="9">
        <x:v>0</x:v>
      </x:c>
      <x:c r="J9" s="9">
        <x:v>0</x:v>
      </x:c>
      <x:c r="K9" s="9">
        <x:v>0</x:v>
      </x:c>
      <x:c r="L9" s="9">
        <x:v>0</x:v>
      </x:c>
      <x:c r="M9" s="9">
        <x:v>0</x:v>
      </x:c>
      <x:c r="N9" s="9">
        <x:v>0</x:v>
      </x:c>
      <x:c r="O9" s="9">
        <x:v>0</x:v>
      </x:c>
      <x:c r="P9" s="11" t="n">
        <x:f>N9/5</x:f>
        <x:v>0</x:v>
      </x:c>
      <x:c r="Q9" s="11" t="n">
        <x:f>O9/40</x:f>
        <x:v>0</x:v>
      </x:c>
      <x:c r="R9" s="9">
        <x:v>0</x:v>
      </x:c>
      <x:c r="S9" s="11" t="n">
        <x:f>J9+K9+L9+M9+P9+Q9</x:f>
        <x:v>0</x:v>
      </x:c>
    </x:row>
    <x:row r="10" ht="28" customHeight="1">
      <x:c r="A10" s="3">
        <x:v>5</x:v>
      </x:c>
      <x:c r="B10" s="3" t="str">
        <x:v>Keamanan &amp; Keselamatan</x:v>
      </x:c>
      <x:c r="C10" s="9" t="str">
        <x:v>jumlah_staf</x:v>
      </x:c>
      <x:c r="D10" s="9">
        <x:v>0</x:v>
      </x:c>
      <x:c r="E10" s="9">
        <x:v>0</x:v>
      </x:c>
      <x:c r="F10" s="9">
        <x:v>0</x:v>
      </x:c>
      <x:c r="G10" s="9">
        <x:v>0</x:v>
      </x:c>
      <x:c r="H10" s="9">
        <x:v>0</x:v>
      </x:c>
      <x:c r="I10" s="9">
        <x:v>0</x:v>
      </x:c>
      <x:c r="J10" s="9">
        <x:v>0</x:v>
      </x:c>
      <x:c r="K10" s="9">
        <x:v>0</x:v>
      </x:c>
      <x:c r="L10" s="9">
        <x:v>0</x:v>
      </x:c>
      <x:c r="M10" s="9">
        <x:v>0</x:v>
      </x:c>
      <x:c r="N10" s="9">
        <x:v>0</x:v>
      </x:c>
      <x:c r="O10" s="9">
        <x:v>0</x:v>
      </x:c>
      <x:c r="P10" s="11" t="n">
        <x:f>N10/5</x:f>
        <x:v>0</x:v>
      </x:c>
      <x:c r="Q10" s="11" t="n">
        <x:f>O10/40</x:f>
        <x:v>0</x:v>
      </x:c>
      <x:c r="R10" s="9">
        <x:v>0</x:v>
      </x:c>
      <x:c r="S10" s="11" t="n">
        <x:f>J10+K10+L10+M10+P10+Q10</x:f>
        <x:v>0</x:v>
      </x:c>
    </x:row>
    <x:row r="11" ht="28" customHeight="1">
      <x:c r="A11" s="3">
        <x:v>6</x:v>
      </x:c>
      <x:c r="B11" s="3" t="str">
        <x:v>Cleaning Services</x:v>
      </x:c>
      <x:c r="C11" s="9" t="str">
        <x:v>jumlah_staf</x:v>
      </x:c>
      <x:c r="D11" s="9">
        <x:v>0</x:v>
      </x:c>
      <x:c r="E11" s="9">
        <x:v>0</x:v>
      </x:c>
      <x:c r="F11" s="9">
        <x:v>0</x:v>
      </x:c>
      <x:c r="G11" s="9">
        <x:v>0</x:v>
      </x:c>
      <x:c r="H11" s="9">
        <x:v>0</x:v>
      </x:c>
      <x:c r="I11" s="9">
        <x:v>0</x:v>
      </x:c>
      <x:c r="J11" s="9">
        <x:v>0</x:v>
      </x:c>
      <x:c r="K11" s="9">
        <x:v>0</x:v>
      </x:c>
      <x:c r="L11" s="9">
        <x:v>0</x:v>
      </x:c>
      <x:c r="M11" s="9">
        <x:v>0</x:v>
      </x:c>
      <x:c r="N11" s="9">
        <x:v>0</x:v>
      </x:c>
      <x:c r="O11" s="9">
        <x:v>0</x:v>
      </x:c>
      <x:c r="P11" s="11" t="n">
        <x:f>N11/5</x:f>
        <x:v>0</x:v>
      </x:c>
      <x:c r="Q11" s="11" t="n">
        <x:f>O11/40</x:f>
        <x:v>0</x:v>
      </x:c>
      <x:c r="R11" s="9">
        <x:v>0</x:v>
      </x:c>
      <x:c r="S11" s="11" t="n">
        <x:f>J11+K11+L11+M11+P11+Q11</x:f>
        <x:v>0</x:v>
      </x:c>
    </x:row>
    <x:row r="12" ht="28" customHeight="1">
      <x:c r="A12" s="3">
        <x:v>7</x:v>
      </x:c>
      <x:c r="B12" s="3" t="str">
        <x:v>Customer Service / Front Office</x:v>
      </x:c>
      <x:c r="C12" s="9" t="str">
        <x:v>jumlah_staf</x:v>
      </x:c>
      <x:c r="D12" s="9">
        <x:v>0</x:v>
      </x:c>
      <x:c r="E12" s="9">
        <x:v>0</x:v>
      </x:c>
      <x:c r="F12" s="9">
        <x:v>0</x:v>
      </x:c>
      <x:c r="G12" s="9">
        <x:v>0</x:v>
      </x:c>
      <x:c r="H12" s="9">
        <x:v>0</x:v>
      </x:c>
      <x:c r="I12" s="9">
        <x:v>0</x:v>
      </x:c>
      <x:c r="J12" s="9">
        <x:v>0</x:v>
      </x:c>
      <x:c r="K12" s="9">
        <x:v>0</x:v>
      </x:c>
      <x:c r="L12" s="9">
        <x:v>0</x:v>
      </x:c>
      <x:c r="M12" s="9">
        <x:v>0</x:v>
      </x:c>
      <x:c r="N12" s="9">
        <x:v>0</x:v>
      </x:c>
      <x:c r="O12" s="9">
        <x:v>0</x:v>
      </x:c>
      <x:c r="P12" s="11" t="n">
        <x:f>N12/5</x:f>
        <x:v>0</x:v>
      </x:c>
      <x:c r="Q12" s="11" t="n">
        <x:f>O12/40</x:f>
        <x:v>0</x:v>
      </x:c>
      <x:c r="R12" s="9">
        <x:v>0</x:v>
      </x:c>
      <x:c r="S12" s="11" t="n">
        <x:f>J12+K12+L12+M12+P12+Q12</x:f>
        <x:v>0</x:v>
      </x:c>
    </x:row>
    <x:row r="13" ht="28" customHeight="1">
      <x:c r="A13" s="3">
        <x:v>8</x:v>
      </x:c>
      <x:c r="B13" s="3" t="str">
        <x:v>Bahan Habis Pakai - Non Medis</x:v>
      </x:c>
      <x:c r="C13" s="9" t="str">
        <x:v>penggunaan</x:v>
      </x:c>
      <x:c r="D13" s="9">
        <x:v>0</x:v>
      </x:c>
      <x:c r="E13" s="9">
        <x:v>0</x:v>
      </x:c>
      <x:c r="F13" s="9">
        <x:v>0</x:v>
      </x:c>
      <x:c r="G13" s="9">
        <x:v>0</x:v>
      </x:c>
      <x:c r="H13" s="9">
        <x:v>0</x:v>
      </x:c>
      <x:c r="I13" s="9">
        <x:v>0</x:v>
      </x:c>
      <x:c r="J13" s="9">
        <x:v>0</x:v>
      </x:c>
      <x:c r="K13" s="9">
        <x:v>0</x:v>
      </x:c>
      <x:c r="L13" s="9">
        <x:v>0</x:v>
      </x:c>
      <x:c r="M13" s="9">
        <x:v>0</x:v>
      </x:c>
      <x:c r="N13" s="9">
        <x:v>0</x:v>
      </x:c>
      <x:c r="O13" s="9">
        <x:v>0</x:v>
      </x:c>
      <x:c r="P13" s="11" t="n">
        <x:f>N13/5</x:f>
        <x:v>0</x:v>
      </x:c>
      <x:c r="Q13" s="11" t="n">
        <x:f>O13/40</x:f>
        <x:v>0</x:v>
      </x:c>
      <x:c r="R13" s="9">
        <x:v>0</x:v>
      </x:c>
      <x:c r="S13" s="11" t="n">
        <x:f>J13+K13+L13+M13+P13+Q13</x:f>
        <x:v>0</x:v>
      </x:c>
    </x:row>
    <x:row r="14" ht="28" customHeight="1">
      <x:c r="A14" s="3">
        <x:v>9</x:v>
      </x:c>
      <x:c r="B14" s="3" t="str">
        <x:v>Fasilitas (Listrik, Air, Telepon, Internet)</x:v>
      </x:c>
      <x:c r="C14" s="9" t="str">
        <x:v>luas_lantai</x:v>
      </x:c>
      <x:c r="D14" s="9">
        <x:v>0</x:v>
      </x:c>
      <x:c r="E14" s="9">
        <x:v>0</x:v>
      </x:c>
      <x:c r="F14" s="9">
        <x:v>0</x:v>
      </x:c>
      <x:c r="G14" s="9">
        <x:v>0</x:v>
      </x:c>
      <x:c r="H14" s="9">
        <x:v>0</x:v>
      </x:c>
      <x:c r="I14" s="9">
        <x:v>0</x:v>
      </x:c>
      <x:c r="J14" s="9">
        <x:v>0</x:v>
      </x:c>
      <x:c r="K14" s="9">
        <x:v>0</x:v>
      </x:c>
      <x:c r="L14" s="9">
        <x:v>0</x:v>
      </x:c>
      <x:c r="M14" s="9">
        <x:v>0</x:v>
      </x:c>
      <x:c r="N14" s="9">
        <x:v>0</x:v>
      </x:c>
      <x:c r="O14" s="9">
        <x:v>0</x:v>
      </x:c>
      <x:c r="P14" s="11" t="n">
        <x:f>N14/5</x:f>
        <x:v>0</x:v>
      </x:c>
      <x:c r="Q14" s="11" t="n">
        <x:f>O14/40</x:f>
        <x:v>0</x:v>
      </x:c>
      <x:c r="R14" s="9">
        <x:v>0</x:v>
      </x:c>
      <x:c r="S14" s="11" t="n">
        <x:f>J14+K14+L14+M14+P14+Q14</x:f>
        <x:v>0</x:v>
      </x:c>
    </x:row>
    <x:row r="15" ht="28" customHeight="1">
      <x:c r="A15" s="3">
        <x:v>10</x:v>
      </x:c>
      <x:c r="B15" s="3" t="str">
        <x:v>Pajak &amp; Asuransi</x:v>
      </x:c>
      <x:c r="C15" s="9" t="str">
        <x:v>tagihan_pajak</x:v>
      </x:c>
      <x:c r="D15" s="9">
        <x:v>0</x:v>
      </x:c>
      <x:c r="E15" s="9">
        <x:v>0</x:v>
      </x:c>
      <x:c r="F15" s="9">
        <x:v>0</x:v>
      </x:c>
      <x:c r="G15" s="9">
        <x:v>0</x:v>
      </x:c>
      <x:c r="H15" s="9">
        <x:v>0</x:v>
      </x:c>
      <x:c r="I15" s="9">
        <x:v>0</x:v>
      </x:c>
      <x:c r="J15" s="9">
        <x:v>0</x:v>
      </x:c>
      <x:c r="K15" s="9">
        <x:v>0</x:v>
      </x:c>
      <x:c r="L15" s="9">
        <x:v>0</x:v>
      </x:c>
      <x:c r="M15" s="9">
        <x:v>0</x:v>
      </x:c>
      <x:c r="N15" s="9">
        <x:v>0</x:v>
      </x:c>
      <x:c r="O15" s="9">
        <x:v>0</x:v>
      </x:c>
      <x:c r="P15" s="11" t="n">
        <x:f>N15/5</x:f>
        <x:v>0</x:v>
      </x:c>
      <x:c r="Q15" s="11" t="n">
        <x:f>O15/40</x:f>
        <x:v>0</x:v>
      </x:c>
      <x:c r="R15" s="9">
        <x:v>0</x:v>
      </x:c>
      <x:c r="S15" s="11" t="n">
        <x:f>J15+K15+L15+M15+P15+Q15</x:f>
        <x:v>0</x:v>
      </x:c>
    </x:row>
    <x:row r="16" ht="28" customHeight="1">
      <x:c r="A16" s="3">
        <x:v>11</x:v>
      </x:c>
      <x:c r="B16" s="3" t="str">
        <x:v>Sewa dan Kerja Sama Operasional</x:v>
      </x:c>
      <x:c r="C16" s="9" t="str">
        <x:v>luas_lantai</x:v>
      </x:c>
      <x:c r="D16" s="9">
        <x:v>0</x:v>
      </x:c>
      <x:c r="E16" s="9">
        <x:v>0</x:v>
      </x:c>
      <x:c r="F16" s="9">
        <x:v>0</x:v>
      </x:c>
      <x:c r="G16" s="9">
        <x:v>0</x:v>
      </x:c>
      <x:c r="H16" s="9">
        <x:v>0</x:v>
      </x:c>
      <x:c r="I16" s="9">
        <x:v>0</x:v>
      </x:c>
      <x:c r="J16" s="9">
        <x:v>0</x:v>
      </x:c>
      <x:c r="K16" s="9">
        <x:v>0</x:v>
      </x:c>
      <x:c r="L16" s="9">
        <x:v>0</x:v>
      </x:c>
      <x:c r="M16" s="9">
        <x:v>0</x:v>
      </x:c>
      <x:c r="N16" s="9">
        <x:v>0</x:v>
      </x:c>
      <x:c r="O16" s="9">
        <x:v>0</x:v>
      </x:c>
      <x:c r="P16" s="11" t="n">
        <x:f>N16/5</x:f>
        <x:v>0</x:v>
      </x:c>
      <x:c r="Q16" s="11" t="n">
        <x:f>O16/40</x:f>
        <x:v>0</x:v>
      </x:c>
      <x:c r="R16" s="9">
        <x:v>0</x:v>
      </x:c>
      <x:c r="S16" s="11" t="n">
        <x:f>J16+K16+L16+M16+P16+Q16</x:f>
        <x:v>0</x:v>
      </x:c>
    </x:row>
    <x:row r="17" ht="28" customHeight="1">
      <x:c r="A17" s="3">
        <x:v>12</x:v>
      </x:c>
      <x:c r="B17" s="3" t="str">
        <x:v>Parkir</x:v>
      </x:c>
      <x:c r="C17" s="9" t="str">
        <x:v>luas_lantai</x:v>
      </x:c>
      <x:c r="D17" s="9">
        <x:v>0</x:v>
      </x:c>
      <x:c r="E17" s="9">
        <x:v>0</x:v>
      </x:c>
      <x:c r="F17" s="9">
        <x:v>0</x:v>
      </x:c>
      <x:c r="G17" s="9">
        <x:v>0</x:v>
      </x:c>
      <x:c r="H17" s="9">
        <x:v>0</x:v>
      </x:c>
      <x:c r="I17" s="9">
        <x:v>0</x:v>
      </x:c>
      <x:c r="J17" s="9">
        <x:v>0</x:v>
      </x:c>
      <x:c r="K17" s="9">
        <x:v>0</x:v>
      </x:c>
      <x:c r="L17" s="9">
        <x:v>0</x:v>
      </x:c>
      <x:c r="M17" s="9">
        <x:v>0</x:v>
      </x:c>
      <x:c r="N17" s="9">
        <x:v>0</x:v>
      </x:c>
      <x:c r="O17" s="9">
        <x:v>0</x:v>
      </x:c>
      <x:c r="P17" s="11" t="n">
        <x:f>N17/5</x:f>
        <x:v>0</x:v>
      </x:c>
      <x:c r="Q17" s="11" t="n">
        <x:f>O17/40</x:f>
        <x:v>0</x:v>
      </x:c>
      <x:c r="R17" s="9">
        <x:v>0</x:v>
      </x:c>
      <x:c r="S17" s="11" t="n">
        <x:f>J17+K17+L17+M17+P17+Q17</x:f>
        <x:v>0</x:v>
      </x:c>
    </x:row>
    <x:row r="18" ht="28" customHeight="1">
      <x:c r="A18" s="3" t="str"/>
      <x:c r="B18" s="3" t="str">
        <x:v>TOTAL OVERHEAD</x:v>
      </x:c>
      <x:c r="C18" s="3" t="str"/>
      <x:c r="D18" s="3" t="str"/>
      <x:c r="E18" s="3" t="str"/>
      <x:c r="F18" s="3" t="str"/>
      <x:c r="G18" s="3" t="str"/>
      <x:c r="H18" s="3" t="str"/>
      <x:c r="I18" s="3" t="str"/>
      <x:c r="J18" s="3" t="str"/>
      <x:c r="K18" s="3" t="str"/>
      <x:c r="L18" s="3" t="str"/>
      <x:c r="M18" s="3" t="str"/>
      <x:c r="N18" s="3" t="str"/>
      <x:c r="O18" s="3" t="str"/>
      <x:c r="P18" s="3" t="str"/>
      <x:c r="Q18" s="3" t="str"/>
      <x:c r="R18" s="3" t="str"/>
      <x:c r="S18" s="11" t="n">
        <x:f>SUM(S6:S17)</x:f>
        <x:v>0</x:v>
      </x:c>
    </x:row>
    <x:row r="19" ht="28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</x:row>
    <x:row r="20" ht="38" customHeight="1">
      <x:c r="A20" s="7" t="str">
        <x:v>B. PUSAT BIAYA PENUNJANG MEDIS (INTERMEDIATE)</x:v>
      </x:c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</x:row>
    <x:row r="21" ht="65" customHeight="1">
      <x:c r="A21" s="7" t="str">
        <x:v>No</x:v>
      </x:c>
      <x:c r="B21" s="7" t="str">
        <x:v>Nama Unit / Pusat Biaya</x:v>
      </x:c>
      <x:c r="C21" s="7" t="str">
        <x:v>Dasar Alokasi</x:v>
      </x:c>
      <x:c r="D21" s="7" t="str">
        <x:v>Jumlah Staf</x:v>
      </x:c>
      <x:c r="E21" s="7" t="str">
        <x:v>Hari Rawat</x:v>
      </x:c>
      <x:c r="F21" s="7" t="str">
        <x:v>Pasien Pulang</x:v>
      </x:c>
      <x:c r="G21" s="7" t="str">
        <x:v>Jml Kunjungan</x:v>
      </x:c>
      <x:c r="H21" s="7" t="str">
        <x:v>ALOS</x:v>
      </x:c>
      <x:c r="I21" s="7" t="str">
        <x:v>Jml Tempat Tidur</x:v>
      </x:c>
      <x:c r="J21" s="7" t="str">
        <x:v>Biaya Gaji</x:v>
      </x:c>
      <x:c r="K21" s="7" t="str">
        <x:v>Biaya Jasa Medis</x:v>
      </x:c>
      <x:c r="L21" s="7" t="str">
        <x:v>Biaya Jasa Medis Lain</x:v>
      </x:c>
      <x:c r="M21" s="7" t="str">
        <x:v>Biaya Operasional</x:v>
      </x:c>
      <x:c r="N21" s="7" t="str">
        <x:v>Nilai Alat</x:v>
      </x:c>
      <x:c r="O21" s="7" t="str">
        <x:v>Investasi Gedung</x:v>
      </x:c>
      <x:c r="P21" s="7" t="str">
        <x:v>Dep. Peralatan (Otomatis)</x:v>
      </x:c>
      <x:c r="Q21" s="7" t="str">
        <x:v>Dep. Gedung (Otomatis)</x:v>
      </x:c>
      <x:c r="R21" s="7" t="str">
        <x:v>Luas Lantai (m²)</x:v>
      </x:c>
      <x:c r="S21" s="7" t="str">
        <x:v>Total Biaya Langsung (Otomatis)</x:v>
      </x:c>
    </x:row>
    <x:row r="22" ht="28" customHeight="1">
      <x:c r="A22" s="3">
        <x:v>1</x:v>
      </x:c>
      <x:c r="B22" s="3" t="str">
        <x:v>Farmasi</x:v>
      </x:c>
      <x:c r="C22" s="9" t="str">
        <x:v>resep_ddd</x:v>
      </x:c>
      <x:c r="D22" s="9">
        <x:v>0</x:v>
      </x:c>
      <x:c r="E22" s="9">
        <x:v>0</x:v>
      </x:c>
      <x:c r="F22" s="9">
        <x:v>0</x:v>
      </x:c>
      <x:c r="G22" s="9">
        <x:v>0</x:v>
      </x:c>
      <x:c r="H22" s="9">
        <x:v>0</x:v>
      </x:c>
      <x:c r="I22" s="9">
        <x:v>0</x:v>
      </x:c>
      <x:c r="J22" s="9">
        <x:v>0</x:v>
      </x:c>
      <x:c r="K22" s="9">
        <x:v>0</x:v>
      </x:c>
      <x:c r="L22" s="9">
        <x:v>0</x:v>
      </x:c>
      <x:c r="M22" s="9">
        <x:v>0</x:v>
      </x:c>
      <x:c r="N22" s="9">
        <x:v>0</x:v>
      </x:c>
      <x:c r="O22" s="9">
        <x:v>0</x:v>
      </x:c>
      <x:c r="P22" s="11" t="n">
        <x:f>N22/5</x:f>
        <x:v>0</x:v>
      </x:c>
      <x:c r="Q22" s="11" t="n">
        <x:f>O22/40</x:f>
        <x:v>0</x:v>
      </x:c>
      <x:c r="R22" s="9">
        <x:v>0</x:v>
      </x:c>
      <x:c r="S22" s="11" t="n">
        <x:f>J22+K22+L22+M22+P22+Q22</x:f>
        <x:v>0</x:v>
      </x:c>
    </x:row>
    <x:row r="23" ht="28" customHeight="1">
      <x:c r="A23" s="3">
        <x:v>2</x:v>
      </x:c>
      <x:c r="B23" s="3" t="str">
        <x:v>Radiologi</x:v>
      </x:c>
      <x:c r="C23" s="9" t="str">
        <x:v>jumlah_pemeriksaan</x:v>
      </x:c>
      <x:c r="D23" s="9">
        <x:v>0</x:v>
      </x:c>
      <x:c r="E23" s="9">
        <x:v>0</x:v>
      </x:c>
      <x:c r="F23" s="9">
        <x:v>0</x:v>
      </x:c>
      <x:c r="G23" s="9">
        <x:v>0</x:v>
      </x:c>
      <x:c r="H23" s="9">
        <x:v>0</x:v>
      </x:c>
      <x:c r="I23" s="9">
        <x:v>0</x:v>
      </x:c>
      <x:c r="J23" s="9">
        <x:v>0</x:v>
      </x:c>
      <x:c r="K23" s="9">
        <x:v>0</x:v>
      </x:c>
      <x:c r="L23" s="9">
        <x:v>0</x:v>
      </x:c>
      <x:c r="M23" s="9">
        <x:v>0</x:v>
      </x:c>
      <x:c r="N23" s="9">
        <x:v>0</x:v>
      </x:c>
      <x:c r="O23" s="9">
        <x:v>0</x:v>
      </x:c>
      <x:c r="P23" s="11" t="n">
        <x:f>N23/5</x:f>
        <x:v>0</x:v>
      </x:c>
      <x:c r="Q23" s="11" t="n">
        <x:f>O23/40</x:f>
        <x:v>0</x:v>
      </x:c>
      <x:c r="R23" s="9">
        <x:v>0</x:v>
      </x:c>
      <x:c r="S23" s="11" t="n">
        <x:f>J23+K23+L23+M23+P23+Q23</x:f>
        <x:v>0</x:v>
      </x:c>
    </x:row>
    <x:row r="24" ht="28" customHeight="1">
      <x:c r="A24" s="3">
        <x:v>3</x:v>
      </x:c>
      <x:c r="B24" s="3" t="str">
        <x:v>Laboratorium</x:v>
      </x:c>
      <x:c r="C24" s="9" t="str">
        <x:v>jumlah_test</x:v>
      </x:c>
      <x:c r="D24" s="9">
        <x:v>0</x:v>
      </x:c>
      <x:c r="E24" s="9">
        <x:v>0</x:v>
      </x:c>
      <x:c r="F24" s="9">
        <x:v>0</x:v>
      </x:c>
      <x:c r="G24" s="9">
        <x:v>0</x:v>
      </x:c>
      <x:c r="H24" s="9">
        <x:v>0</x:v>
      </x:c>
      <x:c r="I24" s="9">
        <x:v>0</x:v>
      </x:c>
      <x:c r="J24" s="9">
        <x:v>0</x:v>
      </x:c>
      <x:c r="K24" s="9">
        <x:v>0</x:v>
      </x:c>
      <x:c r="L24" s="9">
        <x:v>0</x:v>
      </x:c>
      <x:c r="M24" s="9">
        <x:v>0</x:v>
      </x:c>
      <x:c r="N24" s="9">
        <x:v>0</x:v>
      </x:c>
      <x:c r="O24" s="9">
        <x:v>0</x:v>
      </x:c>
      <x:c r="P24" s="11" t="n">
        <x:f>N24/5</x:f>
        <x:v>0</x:v>
      </x:c>
      <x:c r="Q24" s="11" t="n">
        <x:f>O24/40</x:f>
        <x:v>0</x:v>
      </x:c>
      <x:c r="R24" s="9">
        <x:v>0</x:v>
      </x:c>
      <x:c r="S24" s="11" t="n">
        <x:f>J24+K24+L24+M24+P24+Q24</x:f>
        <x:v>0</x:v>
      </x:c>
    </x:row>
    <x:row r="25" ht="28" customHeight="1">
      <x:c r="A25" s="3">
        <x:v>4</x:v>
      </x:c>
      <x:c r="B25" s="3" t="str">
        <x:v>Rehabilitasi Medik</x:v>
      </x:c>
      <x:c r="C25" s="9" t="str">
        <x:v>jumlah_terapi</x:v>
      </x:c>
      <x:c r="D25" s="9">
        <x:v>0</x:v>
      </x:c>
      <x:c r="E25" s="9">
        <x:v>0</x:v>
      </x:c>
      <x:c r="F25" s="9">
        <x:v>0</x:v>
      </x:c>
      <x:c r="G25" s="9">
        <x:v>0</x:v>
      </x:c>
      <x:c r="H25" s="9">
        <x:v>0</x:v>
      </x:c>
      <x:c r="I25" s="9">
        <x:v>0</x:v>
      </x:c>
      <x:c r="J25" s="9">
        <x:v>0</x:v>
      </x:c>
      <x:c r="K25" s="9">
        <x:v>0</x:v>
      </x:c>
      <x:c r="L25" s="9">
        <x:v>0</x:v>
      </x:c>
      <x:c r="M25" s="9">
        <x:v>0</x:v>
      </x:c>
      <x:c r="N25" s="9">
        <x:v>0</x:v>
      </x:c>
      <x:c r="O25" s="9">
        <x:v>0</x:v>
      </x:c>
      <x:c r="P25" s="11" t="n">
        <x:f>N25/5</x:f>
        <x:v>0</x:v>
      </x:c>
      <x:c r="Q25" s="11" t="n">
        <x:f>O25/40</x:f>
        <x:v>0</x:v>
      </x:c>
      <x:c r="R25" s="9">
        <x:v>0</x:v>
      </x:c>
      <x:c r="S25" s="11" t="n">
        <x:f>J25+K25+L25+M25+P25+Q25</x:f>
        <x:v>0</x:v>
      </x:c>
    </x:row>
    <x:row r="26" ht="28" customHeight="1">
      <x:c r="A26" s="3">
        <x:v>5</x:v>
      </x:c>
      <x:c r="B26" s="3" t="str">
        <x:v>Rehabilitasi Psikososial</x:v>
      </x:c>
      <x:c r="C26" s="9" t="str">
        <x:v>jumlah_pasien</x:v>
      </x:c>
      <x:c r="D26" s="9">
        <x:v>0</x:v>
      </x:c>
      <x:c r="E26" s="9">
        <x:v>0</x:v>
      </x:c>
      <x:c r="F26" s="9">
        <x:v>0</x:v>
      </x:c>
      <x:c r="G26" s="9">
        <x:v>0</x:v>
      </x:c>
      <x:c r="H26" s="9">
        <x:v>0</x:v>
      </x:c>
      <x:c r="I26" s="9">
        <x:v>0</x:v>
      </x:c>
      <x:c r="J26" s="9">
        <x:v>0</x:v>
      </x:c>
      <x:c r="K26" s="9">
        <x:v>0</x:v>
      </x:c>
      <x:c r="L26" s="9">
        <x:v>0</x:v>
      </x:c>
      <x:c r="M26" s="9">
        <x:v>0</x:v>
      </x:c>
      <x:c r="N26" s="9">
        <x:v>0</x:v>
      </x:c>
      <x:c r="O26" s="9">
        <x:v>0</x:v>
      </x:c>
      <x:c r="P26" s="11" t="n">
        <x:f>N26/5</x:f>
        <x:v>0</x:v>
      </x:c>
      <x:c r="Q26" s="11" t="n">
        <x:f>O26/40</x:f>
        <x:v>0</x:v>
      </x:c>
      <x:c r="R26" s="9">
        <x:v>0</x:v>
      </x:c>
      <x:c r="S26" s="11" t="n">
        <x:f>J26+K26+L26+M26+P26+Q26</x:f>
        <x:v>0</x:v>
      </x:c>
    </x:row>
    <x:row r="27" ht="28" customHeight="1">
      <x:c r="A27" s="3">
        <x:v>6</x:v>
      </x:c>
      <x:c r="B27" s="3" t="str">
        <x:v>Instalasi Bedah Sentral (IBS)</x:v>
      </x:c>
      <x:c r="C27" s="9" t="str">
        <x:v>jam_operasi</x:v>
      </x:c>
      <x:c r="D27" s="9">
        <x:v>0</x:v>
      </x:c>
      <x:c r="E27" s="9">
        <x:v>0</x:v>
      </x:c>
      <x:c r="F27" s="9">
        <x:v>0</x:v>
      </x:c>
      <x:c r="G27" s="9">
        <x:v>0</x:v>
      </x:c>
      <x:c r="H27" s="9">
        <x:v>0</x:v>
      </x:c>
      <x:c r="I27" s="9">
        <x:v>0</x:v>
      </x:c>
      <x:c r="J27" s="9">
        <x:v>0</x:v>
      </x:c>
      <x:c r="K27" s="9">
        <x:v>0</x:v>
      </x:c>
      <x:c r="L27" s="9">
        <x:v>0</x:v>
      </x:c>
      <x:c r="M27" s="9">
        <x:v>0</x:v>
      </x:c>
      <x:c r="N27" s="9">
        <x:v>0</x:v>
      </x:c>
      <x:c r="O27" s="9">
        <x:v>0</x:v>
      </x:c>
      <x:c r="P27" s="11" t="n">
        <x:f>N27/5</x:f>
        <x:v>0</x:v>
      </x:c>
      <x:c r="Q27" s="11" t="n">
        <x:f>O27/40</x:f>
        <x:v>0</x:v>
      </x:c>
      <x:c r="R27" s="9">
        <x:v>0</x:v>
      </x:c>
      <x:c r="S27" s="11" t="n">
        <x:f>J27+K27+L27+M27+P27+Q27</x:f>
        <x:v>0</x:v>
      </x:c>
    </x:row>
    <x:row r="28" ht="28" customHeight="1">
      <x:c r="A28" s="3">
        <x:v>7</x:v>
      </x:c>
      <x:c r="B28" s="3" t="str">
        <x:v>Instalasi Gizi</x:v>
      </x:c>
      <x:c r="C28" s="9" t="str">
        <x:v>hari_rawat</x:v>
      </x:c>
      <x:c r="D28" s="9">
        <x:v>0</x:v>
      </x:c>
      <x:c r="E28" s="9">
        <x:v>0</x:v>
      </x:c>
      <x:c r="F28" s="9">
        <x:v>0</x:v>
      </x:c>
      <x:c r="G28" s="9">
        <x:v>0</x:v>
      </x:c>
      <x:c r="H28" s="9">
        <x:v>0</x:v>
      </x:c>
      <x:c r="I28" s="9">
        <x:v>0</x:v>
      </x:c>
      <x:c r="J28" s="9">
        <x:v>0</x:v>
      </x:c>
      <x:c r="K28" s="9">
        <x:v>0</x:v>
      </x:c>
      <x:c r="L28" s="9">
        <x:v>0</x:v>
      </x:c>
      <x:c r="M28" s="9">
        <x:v>0</x:v>
      </x:c>
      <x:c r="N28" s="9">
        <x:v>0</x:v>
      </x:c>
      <x:c r="O28" s="9">
        <x:v>0</x:v>
      </x:c>
      <x:c r="P28" s="11" t="n">
        <x:f>N28/5</x:f>
        <x:v>0</x:v>
      </x:c>
      <x:c r="Q28" s="11" t="n">
        <x:f>O28/40</x:f>
        <x:v>0</x:v>
      </x:c>
      <x:c r="R28" s="9">
        <x:v>0</x:v>
      </x:c>
      <x:c r="S28" s="11" t="n">
        <x:f>J28+K28+L28+M28+P28+Q28</x:f>
        <x:v>0</x:v>
      </x:c>
    </x:row>
    <x:row r="29" ht="28" customHeight="1">
      <x:c r="A29" s="3">
        <x:v>8</x:v>
      </x:c>
      <x:c r="B29" s="3" t="str">
        <x:v>Laundry Rumah Sakit</x:v>
      </x:c>
      <x:c r="C29" s="9" t="str">
        <x:v>hari_rawat</x:v>
      </x:c>
      <x:c r="D29" s="9">
        <x:v>0</x:v>
      </x:c>
      <x:c r="E29" s="9">
        <x:v>0</x:v>
      </x:c>
      <x:c r="F29" s="9">
        <x:v>0</x:v>
      </x:c>
      <x:c r="G29" s="9">
        <x:v>0</x:v>
      </x:c>
      <x:c r="H29" s="9">
        <x:v>0</x:v>
      </x:c>
      <x:c r="I29" s="9">
        <x:v>0</x:v>
      </x:c>
      <x:c r="J29" s="9">
        <x:v>0</x:v>
      </x:c>
      <x:c r="K29" s="9">
        <x:v>0</x:v>
      </x:c>
      <x:c r="L29" s="9">
        <x:v>0</x:v>
      </x:c>
      <x:c r="M29" s="9">
        <x:v>0</x:v>
      </x:c>
      <x:c r="N29" s="9">
        <x:v>0</x:v>
      </x:c>
      <x:c r="O29" s="9">
        <x:v>0</x:v>
      </x:c>
      <x:c r="P29" s="11" t="n">
        <x:f>N29/5</x:f>
        <x:v>0</x:v>
      </x:c>
      <x:c r="Q29" s="11" t="n">
        <x:f>O29/40</x:f>
        <x:v>0</x:v>
      </x:c>
      <x:c r="R29" s="9">
        <x:v>0</x:v>
      </x:c>
      <x:c r="S29" s="11" t="n">
        <x:f>J29+K29+L29+M29+P29+Q29</x:f>
        <x:v>0</x:v>
      </x:c>
    </x:row>
    <x:row r="30" ht="28" customHeight="1">
      <x:c r="A30" s="3">
        <x:v>9</x:v>
      </x:c>
      <x:c r="B30" s="3" t="str">
        <x:v>Unit Sterilisasi Alat (CSSD)</x:v>
      </x:c>
      <x:c r="C30" s="9" t="str">
        <x:v>jumlah_tindakan</x:v>
      </x:c>
      <x:c r="D30" s="9">
        <x:v>0</x:v>
      </x:c>
      <x:c r="E30" s="9">
        <x:v>0</x:v>
      </x:c>
      <x:c r="F30" s="9">
        <x:v>0</x:v>
      </x:c>
      <x:c r="G30" s="9">
        <x:v>0</x:v>
      </x:c>
      <x:c r="H30" s="9">
        <x:v>0</x:v>
      </x:c>
      <x:c r="I30" s="9">
        <x:v>0</x:v>
      </x:c>
      <x:c r="J30" s="9">
        <x:v>0</x:v>
      </x:c>
      <x:c r="K30" s="9">
        <x:v>0</x:v>
      </x:c>
      <x:c r="L30" s="9">
        <x:v>0</x:v>
      </x:c>
      <x:c r="M30" s="9">
        <x:v>0</x:v>
      </x:c>
      <x:c r="N30" s="9">
        <x:v>0</x:v>
      </x:c>
      <x:c r="O30" s="9">
        <x:v>0</x:v>
      </x:c>
      <x:c r="P30" s="11" t="n">
        <x:f>N30/5</x:f>
        <x:v>0</x:v>
      </x:c>
      <x:c r="Q30" s="11" t="n">
        <x:f>O30/40</x:f>
        <x:v>0</x:v>
      </x:c>
      <x:c r="R30" s="9">
        <x:v>0</x:v>
      </x:c>
      <x:c r="S30" s="11" t="n">
        <x:f>J30+K30+L30+M30+P30+Q30</x:f>
        <x:v>0</x:v>
      </x:c>
    </x:row>
    <x:row r="31" ht="28" customHeight="1">
      <x:c r="A31" s="3">
        <x:v>10</x:v>
      </x:c>
      <x:c r="B31" s="3" t="str">
        <x:v>Gas Medis</x:v>
      </x:c>
      <x:c r="C31" s="9" t="str">
        <x:v>penggunaan</x:v>
      </x:c>
      <x:c r="D31" s="9">
        <x:v>0</x:v>
      </x:c>
      <x:c r="E31" s="9">
        <x:v>0</x:v>
      </x:c>
      <x:c r="F31" s="9">
        <x:v>0</x:v>
      </x:c>
      <x:c r="G31" s="9">
        <x:v>0</x:v>
      </x:c>
      <x:c r="H31" s="9">
        <x:v>0</x:v>
      </x:c>
      <x:c r="I31" s="9">
        <x:v>0</x:v>
      </x:c>
      <x:c r="J31" s="9">
        <x:v>0</x:v>
      </x:c>
      <x:c r="K31" s="9">
        <x:v>0</x:v>
      </x:c>
      <x:c r="L31" s="9">
        <x:v>0</x:v>
      </x:c>
      <x:c r="M31" s="9">
        <x:v>0</x:v>
      </x:c>
      <x:c r="N31" s="9">
        <x:v>0</x:v>
      </x:c>
      <x:c r="O31" s="9">
        <x:v>0</x:v>
      </x:c>
      <x:c r="P31" s="11" t="n">
        <x:f>N31/5</x:f>
        <x:v>0</x:v>
      </x:c>
      <x:c r="Q31" s="11" t="n">
        <x:f>O31/40</x:f>
        <x:v>0</x:v>
      </x:c>
      <x:c r="R31" s="9">
        <x:v>0</x:v>
      </x:c>
      <x:c r="S31" s="11" t="n">
        <x:f>J31+K31+L31+M31+P31+Q31</x:f>
        <x:v>0</x:v>
      </x:c>
    </x:row>
    <x:row r="32" ht="28" customHeight="1">
      <x:c r="A32" s="3">
        <x:v>11</x:v>
      </x:c>
      <x:c r="B32" s="3" t="str">
        <x:v>Bank Darah</x:v>
      </x:c>
      <x:c r="C32" s="9" t="str">
        <x:v>kantong_darah</x:v>
      </x:c>
      <x:c r="D32" s="9">
        <x:v>0</x:v>
      </x:c>
      <x:c r="E32" s="9">
        <x:v>0</x:v>
      </x:c>
      <x:c r="F32" s="9">
        <x:v>0</x:v>
      </x:c>
      <x:c r="G32" s="9">
        <x:v>0</x:v>
      </x:c>
      <x:c r="H32" s="9">
        <x:v>0</x:v>
      </x:c>
      <x:c r="I32" s="9">
        <x:v>0</x:v>
      </x:c>
      <x:c r="J32" s="9">
        <x:v>0</x:v>
      </x:c>
      <x:c r="K32" s="9">
        <x:v>0</x:v>
      </x:c>
      <x:c r="L32" s="9">
        <x:v>0</x:v>
      </x:c>
      <x:c r="M32" s="9">
        <x:v>0</x:v>
      </x:c>
      <x:c r="N32" s="9">
        <x:v>0</x:v>
      </x:c>
      <x:c r="O32" s="9">
        <x:v>0</x:v>
      </x:c>
      <x:c r="P32" s="11" t="n">
        <x:f>N32/5</x:f>
        <x:v>0</x:v>
      </x:c>
      <x:c r="Q32" s="11" t="n">
        <x:f>O32/40</x:f>
        <x:v>0</x:v>
      </x:c>
      <x:c r="R32" s="9">
        <x:v>0</x:v>
      </x:c>
      <x:c r="S32" s="11" t="n">
        <x:f>J32+K32+L32+M32+P32+Q32</x:f>
        <x:v>0</x:v>
      </x:c>
    </x:row>
    <x:row r="33" ht="28" customHeight="1">
      <x:c r="A33" s="3">
        <x:v>12</x:v>
      </x:c>
      <x:c r="B33" s="3" t="str">
        <x:v>Bank Jaringan</x:v>
      </x:c>
      <x:c r="C33" s="9" t="str">
        <x:v>jaringan</x:v>
      </x:c>
      <x:c r="D33" s="9">
        <x:v>0</x:v>
      </x:c>
      <x:c r="E33" s="9">
        <x:v>0</x:v>
      </x:c>
      <x:c r="F33" s="9">
        <x:v>0</x:v>
      </x:c>
      <x:c r="G33" s="9">
        <x:v>0</x:v>
      </x:c>
      <x:c r="H33" s="9">
        <x:v>0</x:v>
      </x:c>
      <x:c r="I33" s="9">
        <x:v>0</x:v>
      </x:c>
      <x:c r="J33" s="9">
        <x:v>0</x:v>
      </x:c>
      <x:c r="K33" s="9">
        <x:v>0</x:v>
      </x:c>
      <x:c r="L33" s="9">
        <x:v>0</x:v>
      </x:c>
      <x:c r="M33" s="9">
        <x:v>0</x:v>
      </x:c>
      <x:c r="N33" s="9">
        <x:v>0</x:v>
      </x:c>
      <x:c r="O33" s="9">
        <x:v>0</x:v>
      </x:c>
      <x:c r="P33" s="11" t="n">
        <x:f>N33/5</x:f>
        <x:v>0</x:v>
      </x:c>
      <x:c r="Q33" s="11" t="n">
        <x:f>O33/40</x:f>
        <x:v>0</x:v>
      </x:c>
      <x:c r="R33" s="9">
        <x:v>0</x:v>
      </x:c>
      <x:c r="S33" s="11" t="n">
        <x:f>J33+K33+L33+M33+P33+Q33</x:f>
        <x:v>0</x:v>
      </x:c>
    </x:row>
    <x:row r="34" ht="28" customHeight="1">
      <x:c r="A34" s="3" t="str"/>
      <x:c r="B34" s="3" t="str">
        <x:v>TOTAL PENUNJANG MEDIK</x:v>
      </x:c>
      <x:c r="C34" s="3" t="str"/>
      <x:c r="D34" s="3" t="str"/>
      <x:c r="E34" s="3" t="str"/>
      <x:c r="F34" s="3" t="str"/>
      <x:c r="G34" s="3" t="str"/>
      <x:c r="H34" s="3" t="str"/>
      <x:c r="I34" s="3" t="str"/>
      <x:c r="J34" s="3" t="str"/>
      <x:c r="K34" s="3" t="str"/>
      <x:c r="L34" s="3" t="str"/>
      <x:c r="M34" s="3" t="str"/>
      <x:c r="N34" s="3" t="str"/>
      <x:c r="O34" s="3" t="str"/>
      <x:c r="P34" s="3" t="str"/>
      <x:c r="Q34" s="3" t="str"/>
      <x:c r="R34" s="3" t="str"/>
      <x:c r="S34" s="11" t="n">
        <x:f>SUM(S22:S33)</x:f>
        <x:v>0</x:v>
      </x:c>
    </x:row>
    <x:row r="35" ht="28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</x:row>
    <x:row r="36" ht="38" customHeight="1">
      <x:c r="A36" s="7" t="str">
        <x:v>C. PUSAT BIAYA UTAMA (LAYANAN PASIEN)</x:v>
      </x:c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</x:row>
    <x:row r="37" ht="65" customHeight="1">
      <x:c r="A37" s="7" t="str">
        <x:v>No</x:v>
      </x:c>
      <x:c r="B37" s="7" t="str">
        <x:v>Nama Unit / Pusat Biaya</x:v>
      </x:c>
      <x:c r="C37" s="7" t="str">
        <x:v>Dasar Alokasi</x:v>
      </x:c>
      <x:c r="D37" s="7" t="str">
        <x:v>Jumlah Staf</x:v>
      </x:c>
      <x:c r="E37" s="7" t="str">
        <x:v>Hari Rawat</x:v>
      </x:c>
      <x:c r="F37" s="7" t="str">
        <x:v>Pasien Pulang</x:v>
      </x:c>
      <x:c r="G37" s="7" t="str">
        <x:v>Jml Kunjungan</x:v>
      </x:c>
      <x:c r="H37" s="7" t="str">
        <x:v>ALOS</x:v>
      </x:c>
      <x:c r="I37" s="7" t="str">
        <x:v>Jml Tempat Tidur</x:v>
      </x:c>
      <x:c r="J37" s="7" t="str">
        <x:v>Biaya Gaji</x:v>
      </x:c>
      <x:c r="K37" s="7" t="str">
        <x:v>Biaya Jasa Medis</x:v>
      </x:c>
      <x:c r="L37" s="7" t="str">
        <x:v>Biaya Jasa Medis Lain</x:v>
      </x:c>
      <x:c r="M37" s="7" t="str">
        <x:v>Biaya Operasional</x:v>
      </x:c>
      <x:c r="N37" s="7" t="str">
        <x:v>Nilai Alat</x:v>
      </x:c>
      <x:c r="O37" s="7" t="str">
        <x:v>Investasi Gedung</x:v>
      </x:c>
      <x:c r="P37" s="7" t="str">
        <x:v>Dep. Peralatan (Otomatis)</x:v>
      </x:c>
      <x:c r="Q37" s="7" t="str">
        <x:v>Dep. Gedung (Otomatis)</x:v>
      </x:c>
      <x:c r="R37" s="7" t="str">
        <x:v>Luas Lantai (m²)</x:v>
      </x:c>
      <x:c r="S37" s="7" t="str">
        <x:v>Total Biaya Langsung (Otomatis)</x:v>
      </x:c>
    </x:row>
    <x:row r="38" ht="28" customHeight="1">
      <x:c r="A38" s="3">
        <x:v>1</x:v>
      </x:c>
      <x:c r="B38" s="3" t="str">
        <x:v>Kamar Kelas III</x:v>
      </x:c>
      <x:c r="C38" s="9" t="str">
        <x:v>hari_rawat</x:v>
      </x:c>
      <x:c r="D38" s="9">
        <x:v>0</x:v>
      </x:c>
      <x:c r="E38" s="9">
        <x:v>0</x:v>
      </x:c>
      <x:c r="F38" s="9">
        <x:v>0</x:v>
      </x:c>
      <x:c r="G38" s="9">
        <x:v>0</x:v>
      </x:c>
      <x:c r="H38" s="9">
        <x:v>0</x:v>
      </x:c>
      <x:c r="I38" s="9">
        <x:v>0</x:v>
      </x:c>
      <x:c r="J38" s="9">
        <x:v>0</x:v>
      </x:c>
      <x:c r="K38" s="9">
        <x:v>0</x:v>
      </x:c>
      <x:c r="L38" s="9">
        <x:v>0</x:v>
      </x:c>
      <x:c r="M38" s="9">
        <x:v>0</x:v>
      </x:c>
      <x:c r="N38" s="9">
        <x:v>0</x:v>
      </x:c>
      <x:c r="O38" s="9">
        <x:v>0</x:v>
      </x:c>
      <x:c r="P38" s="11" t="n">
        <x:f>N38/5</x:f>
        <x:v>0</x:v>
      </x:c>
      <x:c r="Q38" s="11" t="n">
        <x:f>O38/40</x:f>
        <x:v>0</x:v>
      </x:c>
      <x:c r="R38" s="9">
        <x:v>0</x:v>
      </x:c>
      <x:c r="S38" s="11" t="n">
        <x:f>J38+K38+L38+M38+P38+Q38</x:f>
        <x:v>0</x:v>
      </x:c>
    </x:row>
    <x:row r="39" ht="28" customHeight="1">
      <x:c r="A39" s="3">
        <x:v>2</x:v>
      </x:c>
      <x:c r="B39" s="3" t="str">
        <x:v>Kamar Kelas II</x:v>
      </x:c>
      <x:c r="C39" s="9" t="str">
        <x:v>hari_rawat</x:v>
      </x:c>
      <x:c r="D39" s="9">
        <x:v>0</x:v>
      </x:c>
      <x:c r="E39" s="9">
        <x:v>0</x:v>
      </x:c>
      <x:c r="F39" s="9">
        <x:v>0</x:v>
      </x:c>
      <x:c r="G39" s="9">
        <x:v>0</x:v>
      </x:c>
      <x:c r="H39" s="9">
        <x:v>0</x:v>
      </x:c>
      <x:c r="I39" s="9">
        <x:v>0</x:v>
      </x:c>
      <x:c r="J39" s="9">
        <x:v>0</x:v>
      </x:c>
      <x:c r="K39" s="9">
        <x:v>0</x:v>
      </x:c>
      <x:c r="L39" s="9">
        <x:v>0</x:v>
      </x:c>
      <x:c r="M39" s="9">
        <x:v>0</x:v>
      </x:c>
      <x:c r="N39" s="9">
        <x:v>0</x:v>
      </x:c>
      <x:c r="O39" s="9">
        <x:v>0</x:v>
      </x:c>
      <x:c r="P39" s="11" t="n">
        <x:f>N39/5</x:f>
        <x:v>0</x:v>
      </x:c>
      <x:c r="Q39" s="11" t="n">
        <x:f>O39/40</x:f>
        <x:v>0</x:v>
      </x:c>
      <x:c r="R39" s="9">
        <x:v>0</x:v>
      </x:c>
      <x:c r="S39" s="11" t="n">
        <x:f>J39+K39+L39+M39+P39+Q39</x:f>
        <x:v>0</x:v>
      </x:c>
    </x:row>
    <x:row r="40" ht="28" customHeight="1">
      <x:c r="A40" s="3">
        <x:v>3</x:v>
      </x:c>
      <x:c r="B40" s="3" t="str">
        <x:v>Kamar Kelas I</x:v>
      </x:c>
      <x:c r="C40" s="9" t="str">
        <x:v>hari_rawat</x:v>
      </x:c>
      <x:c r="D40" s="9">
        <x:v>0</x:v>
      </x:c>
      <x:c r="E40" s="9">
        <x:v>0</x:v>
      </x:c>
      <x:c r="F40" s="9">
        <x:v>0</x:v>
      </x:c>
      <x:c r="G40" s="9">
        <x:v>0</x:v>
      </x:c>
      <x:c r="H40" s="9">
        <x:v>0</x:v>
      </x:c>
      <x:c r="I40" s="9">
        <x:v>0</x:v>
      </x:c>
      <x:c r="J40" s="9">
        <x:v>0</x:v>
      </x:c>
      <x:c r="K40" s="9">
        <x:v>0</x:v>
      </x:c>
      <x:c r="L40" s="9">
        <x:v>0</x:v>
      </x:c>
      <x:c r="M40" s="9">
        <x:v>0</x:v>
      </x:c>
      <x:c r="N40" s="9">
        <x:v>0</x:v>
      </x:c>
      <x:c r="O40" s="9">
        <x:v>0</x:v>
      </x:c>
      <x:c r="P40" s="11" t="n">
        <x:f>N40/5</x:f>
        <x:v>0</x:v>
      </x:c>
      <x:c r="Q40" s="11" t="n">
        <x:f>O40/40</x:f>
        <x:v>0</x:v>
      </x:c>
      <x:c r="R40" s="9">
        <x:v>0</x:v>
      </x:c>
      <x:c r="S40" s="11" t="n">
        <x:f>J40+K40+L40+M40+P40+Q40</x:f>
        <x:v>0</x:v>
      </x:c>
    </x:row>
    <x:row r="41" ht="28" customHeight="1">
      <x:c r="A41" s="3">
        <x:v>4</x:v>
      </x:c>
      <x:c r="B41" s="3" t="str">
        <x:v>Kamar VIP/VVIP/Suite</x:v>
      </x:c>
      <x:c r="C41" s="9" t="str">
        <x:v>hari_rawat</x:v>
      </x:c>
      <x:c r="D41" s="9">
        <x:v>0</x:v>
      </x:c>
      <x:c r="E41" s="9">
        <x:v>0</x:v>
      </x:c>
      <x:c r="F41" s="9">
        <x:v>0</x:v>
      </x:c>
      <x:c r="G41" s="9">
        <x:v>0</x:v>
      </x:c>
      <x:c r="H41" s="9">
        <x:v>0</x:v>
      </x:c>
      <x:c r="I41" s="9">
        <x:v>0</x:v>
      </x:c>
      <x:c r="J41" s="9">
        <x:v>0</x:v>
      </x:c>
      <x:c r="K41" s="9">
        <x:v>0</x:v>
      </x:c>
      <x:c r="L41" s="9">
        <x:v>0</x:v>
      </x:c>
      <x:c r="M41" s="9">
        <x:v>0</x:v>
      </x:c>
      <x:c r="N41" s="9">
        <x:v>0</x:v>
      </x:c>
      <x:c r="O41" s="9">
        <x:v>0</x:v>
      </x:c>
      <x:c r="P41" s="11" t="n">
        <x:f>N41/5</x:f>
        <x:v>0</x:v>
      </x:c>
      <x:c r="Q41" s="11" t="n">
        <x:f>O41/40</x:f>
        <x:v>0</x:v>
      </x:c>
      <x:c r="R41" s="9">
        <x:v>0</x:v>
      </x:c>
      <x:c r="S41" s="11" t="n">
        <x:f>J41+K41+L41+M41+P41+Q41</x:f>
        <x:v>0</x:v>
      </x:c>
    </x:row>
    <x:row r="42" ht="28" customHeight="1">
      <x:c r="A42" s="3">
        <x:v>5</x:v>
      </x:c>
      <x:c r="B42" s="3" t="str">
        <x:v>Kamar ICU/ICCU/NICU/PICU/HCU</x:v>
      </x:c>
      <x:c r="C42" s="9" t="str">
        <x:v>hari_rawat</x:v>
      </x:c>
      <x:c r="D42" s="9">
        <x:v>0</x:v>
      </x:c>
      <x:c r="E42" s="9">
        <x:v>0</x:v>
      </x:c>
      <x:c r="F42" s="9">
        <x:v>0</x:v>
      </x:c>
      <x:c r="G42" s="9">
        <x:v>0</x:v>
      </x:c>
      <x:c r="H42" s="9">
        <x:v>0</x:v>
      </x:c>
      <x:c r="I42" s="9">
        <x:v>0</x:v>
      </x:c>
      <x:c r="J42" s="9">
        <x:v>0</x:v>
      </x:c>
      <x:c r="K42" s="9">
        <x:v>0</x:v>
      </x:c>
      <x:c r="L42" s="9">
        <x:v>0</x:v>
      </x:c>
      <x:c r="M42" s="9">
        <x:v>0</x:v>
      </x:c>
      <x:c r="N42" s="9">
        <x:v>0</x:v>
      </x:c>
      <x:c r="O42" s="9">
        <x:v>0</x:v>
      </x:c>
      <x:c r="P42" s="11" t="n">
        <x:f>N42/5</x:f>
        <x:v>0</x:v>
      </x:c>
      <x:c r="Q42" s="11" t="n">
        <x:f>O42/40</x:f>
        <x:v>0</x:v>
      </x:c>
      <x:c r="R42" s="9">
        <x:v>0</x:v>
      </x:c>
      <x:c r="S42" s="11" t="n">
        <x:f>J42+K42+L42+M42+P42+Q42</x:f>
        <x:v>0</x:v>
      </x:c>
    </x:row>
    <x:row r="43" ht="28" customHeight="1">
      <x:c r="A43" s="3">
        <x:v>6</x:v>
      </x:c>
      <x:c r="B43" s="3" t="str">
        <x:v>Kamar Perawatan Khusus Lainnya</x:v>
      </x:c>
      <x:c r="C43" s="9" t="str">
        <x:v>hari_rawat</x:v>
      </x:c>
      <x:c r="D43" s="9">
        <x:v>0</x:v>
      </x:c>
      <x:c r="E43" s="9">
        <x:v>0</x:v>
      </x:c>
      <x:c r="F43" s="9">
        <x:v>0</x:v>
      </x:c>
      <x:c r="G43" s="9">
        <x:v>0</x:v>
      </x:c>
      <x:c r="H43" s="9">
        <x:v>0</x:v>
      </x:c>
      <x:c r="I43" s="9">
        <x:v>0</x:v>
      </x:c>
      <x:c r="J43" s="9">
        <x:v>0</x:v>
      </x:c>
      <x:c r="K43" s="9">
        <x:v>0</x:v>
      </x:c>
      <x:c r="L43" s="9">
        <x:v>0</x:v>
      </x:c>
      <x:c r="M43" s="9">
        <x:v>0</x:v>
      </x:c>
      <x:c r="N43" s="9">
        <x:v>0</x:v>
      </x:c>
      <x:c r="O43" s="9">
        <x:v>0</x:v>
      </x:c>
      <x:c r="P43" s="11" t="n">
        <x:f>N43/5</x:f>
        <x:v>0</x:v>
      </x:c>
      <x:c r="Q43" s="11" t="n">
        <x:f>O43/40</x:f>
        <x:v>0</x:v>
      </x:c>
      <x:c r="R43" s="9">
        <x:v>0</x:v>
      </x:c>
      <x:c r="S43" s="11" t="n">
        <x:f>J43+K43+L43+M43+P43+Q43</x:f>
        <x:v>0</x:v>
      </x:c>
    </x:row>
    <x:row r="44" ht="28" customHeight="1">
      <x:c r="A44" s="3">
        <x:v>7</x:v>
      </x:c>
      <x:c r="B44" s="3" t="str">
        <x:v>Instalasi Gawat Darurat (IGD)</x:v>
      </x:c>
      <x:c r="C44" s="9" t="str">
        <x:v>jumlah_kunjungan</x:v>
      </x:c>
      <x:c r="D44" s="9">
        <x:v>0</x:v>
      </x:c>
      <x:c r="E44" s="9">
        <x:v>0</x:v>
      </x:c>
      <x:c r="F44" s="9">
        <x:v>0</x:v>
      </x:c>
      <x:c r="G44" s="9">
        <x:v>0</x:v>
      </x:c>
      <x:c r="H44" s="9">
        <x:v>0</x:v>
      </x:c>
      <x:c r="I44" s="9">
        <x:v>0</x:v>
      </x:c>
      <x:c r="J44" s="9">
        <x:v>0</x:v>
      </x:c>
      <x:c r="K44" s="9">
        <x:v>0</x:v>
      </x:c>
      <x:c r="L44" s="9">
        <x:v>0</x:v>
      </x:c>
      <x:c r="M44" s="9">
        <x:v>0</x:v>
      </x:c>
      <x:c r="N44" s="9">
        <x:v>0</x:v>
      </x:c>
      <x:c r="O44" s="9">
        <x:v>0</x:v>
      </x:c>
      <x:c r="P44" s="11" t="n">
        <x:f>N44/5</x:f>
        <x:v>0</x:v>
      </x:c>
      <x:c r="Q44" s="11" t="n">
        <x:f>O44/40</x:f>
        <x:v>0</x:v>
      </x:c>
      <x:c r="R44" s="9">
        <x:v>0</x:v>
      </x:c>
      <x:c r="S44" s="11" t="n">
        <x:f>J44+K44+L44+M44+P44+Q44</x:f>
        <x:v>0</x:v>
      </x:c>
    </x:row>
    <x:row r="45" ht="28" customHeight="1">
      <x:c r="A45" s="3">
        <x:v>8</x:v>
      </x:c>
      <x:c r="B45" s="3" t="str">
        <x:v>Poliklinik Penyakit Dalam</x:v>
      </x:c>
      <x:c r="C45" s="9" t="str">
        <x:v>jumlah_kunjungan</x:v>
      </x:c>
      <x:c r="D45" s="9">
        <x:v>0</x:v>
      </x:c>
      <x:c r="E45" s="9">
        <x:v>0</x:v>
      </x:c>
      <x:c r="F45" s="9">
        <x:v>0</x:v>
      </x:c>
      <x:c r="G45" s="9">
        <x:v>0</x:v>
      </x:c>
      <x:c r="H45" s="9">
        <x:v>0</x:v>
      </x:c>
      <x:c r="I45" s="9">
        <x:v>0</x:v>
      </x:c>
      <x:c r="J45" s="9">
        <x:v>0</x:v>
      </x:c>
      <x:c r="K45" s="9">
        <x:v>0</x:v>
      </x:c>
      <x:c r="L45" s="9">
        <x:v>0</x:v>
      </x:c>
      <x:c r="M45" s="9">
        <x:v>0</x:v>
      </x:c>
      <x:c r="N45" s="9">
        <x:v>0</x:v>
      </x:c>
      <x:c r="O45" s="9">
        <x:v>0</x:v>
      </x:c>
      <x:c r="P45" s="11" t="n">
        <x:f>N45/5</x:f>
        <x:v>0</x:v>
      </x:c>
      <x:c r="Q45" s="11" t="n">
        <x:f>O45/40</x:f>
        <x:v>0</x:v>
      </x:c>
      <x:c r="R45" s="9">
        <x:v>0</x:v>
      </x:c>
      <x:c r="S45" s="11" t="n">
        <x:f>J45+K45+L45+M45+P45+Q45</x:f>
        <x:v>0</x:v>
      </x:c>
    </x:row>
    <x:row r="46" ht="28" customHeight="1">
      <x:c r="A46" s="3">
        <x:v>9</x:v>
      </x:c>
      <x:c r="B46" s="3" t="str">
        <x:v>Poliklinik Jantung dan Pembuluh Darah</x:v>
      </x:c>
      <x:c r="C46" s="9" t="str">
        <x:v>jumlah_kunjungan</x:v>
      </x:c>
      <x:c r="D46" s="9">
        <x:v>0</x:v>
      </x:c>
      <x:c r="E46" s="9">
        <x:v>0</x:v>
      </x:c>
      <x:c r="F46" s="9">
        <x:v>0</x:v>
      </x:c>
      <x:c r="G46" s="9">
        <x:v>0</x:v>
      </x:c>
      <x:c r="H46" s="9">
        <x:v>0</x:v>
      </x:c>
      <x:c r="I46" s="9">
        <x:v>0</x:v>
      </x:c>
      <x:c r="J46" s="9">
        <x:v>0</x:v>
      </x:c>
      <x:c r="K46" s="9">
        <x:v>0</x:v>
      </x:c>
      <x:c r="L46" s="9">
        <x:v>0</x:v>
      </x:c>
      <x:c r="M46" s="9">
        <x:v>0</x:v>
      </x:c>
      <x:c r="N46" s="9">
        <x:v>0</x:v>
      </x:c>
      <x:c r="O46" s="9">
        <x:v>0</x:v>
      </x:c>
      <x:c r="P46" s="11" t="n">
        <x:f>N46/5</x:f>
        <x:v>0</x:v>
      </x:c>
      <x:c r="Q46" s="11" t="n">
        <x:f>O46/40</x:f>
        <x:v>0</x:v>
      </x:c>
      <x:c r="R46" s="9">
        <x:v>0</x:v>
      </x:c>
      <x:c r="S46" s="11" t="n">
        <x:f>J46+K46+L46+M46+P46+Q46</x:f>
        <x:v>0</x:v>
      </x:c>
    </x:row>
    <x:row r="47" ht="28" customHeight="1">
      <x:c r="A47" s="3">
        <x:v>10</x:v>
      </x:c>
      <x:c r="B47" s="3" t="str">
        <x:v>Poliklinik Obstetri dan Ginekologi</x:v>
      </x:c>
      <x:c r="C47" s="9" t="str">
        <x:v>jumlah_kunjungan</x:v>
      </x:c>
      <x:c r="D47" s="9">
        <x:v>0</x:v>
      </x:c>
      <x:c r="E47" s="9">
        <x:v>0</x:v>
      </x:c>
      <x:c r="F47" s="9">
        <x:v>0</x:v>
      </x:c>
      <x:c r="G47" s="9">
        <x:v>0</x:v>
      </x:c>
      <x:c r="H47" s="9">
        <x:v>0</x:v>
      </x:c>
      <x:c r="I47" s="9">
        <x:v>0</x:v>
      </x:c>
      <x:c r="J47" s="9">
        <x:v>0</x:v>
      </x:c>
      <x:c r="K47" s="9">
        <x:v>0</x:v>
      </x:c>
      <x:c r="L47" s="9">
        <x:v>0</x:v>
      </x:c>
      <x:c r="M47" s="9">
        <x:v>0</x:v>
      </x:c>
      <x:c r="N47" s="9">
        <x:v>0</x:v>
      </x:c>
      <x:c r="O47" s="9">
        <x:v>0</x:v>
      </x:c>
      <x:c r="P47" s="11" t="n">
        <x:f>N47/5</x:f>
        <x:v>0</x:v>
      </x:c>
      <x:c r="Q47" s="11" t="n">
        <x:f>O47/40</x:f>
        <x:v>0</x:v>
      </x:c>
      <x:c r="R47" s="9">
        <x:v>0</x:v>
      </x:c>
      <x:c r="S47" s="11" t="n">
        <x:f>J47+K47+L47+M47+P47+Q47</x:f>
        <x:v>0</x:v>
      </x:c>
    </x:row>
    <x:row r="48" ht="28" customHeight="1">
      <x:c r="A48" s="3">
        <x:v>11</x:v>
      </x:c>
      <x:c r="B48" s="3" t="str">
        <x:v>Poliklinik Bedah</x:v>
      </x:c>
      <x:c r="C48" s="9" t="str">
        <x:v>jumlah_kunjungan</x:v>
      </x:c>
      <x:c r="D48" s="9">
        <x:v>0</x:v>
      </x:c>
      <x:c r="E48" s="9">
        <x:v>0</x:v>
      </x:c>
      <x:c r="F48" s="9">
        <x:v>0</x:v>
      </x:c>
      <x:c r="G48" s="9">
        <x:v>0</x:v>
      </x:c>
      <x:c r="H48" s="9">
        <x:v>0</x:v>
      </x:c>
      <x:c r="I48" s="9">
        <x:v>0</x:v>
      </x:c>
      <x:c r="J48" s="9">
        <x:v>0</x:v>
      </x:c>
      <x:c r="K48" s="9">
        <x:v>0</x:v>
      </x:c>
      <x:c r="L48" s="9">
        <x:v>0</x:v>
      </x:c>
      <x:c r="M48" s="9">
        <x:v>0</x:v>
      </x:c>
      <x:c r="N48" s="9">
        <x:v>0</x:v>
      </x:c>
      <x:c r="O48" s="9">
        <x:v>0</x:v>
      </x:c>
      <x:c r="P48" s="11" t="n">
        <x:f>N48/5</x:f>
        <x:v>0</x:v>
      </x:c>
      <x:c r="Q48" s="11" t="n">
        <x:f>O48/40</x:f>
        <x:v>0</x:v>
      </x:c>
      <x:c r="R48" s="9">
        <x:v>0</x:v>
      </x:c>
      <x:c r="S48" s="11" t="n">
        <x:f>J48+K48+L48+M48+P48+Q48</x:f>
        <x:v>0</x:v>
      </x:c>
    </x:row>
    <x:row r="49" ht="28" customHeight="1">
      <x:c r="A49" s="3">
        <x:v>12</x:v>
      </x:c>
      <x:c r="B49" s="3" t="str">
        <x:v>Poliklinik Paru</x:v>
      </x:c>
      <x:c r="C49" s="9" t="str">
        <x:v>jumlah_kunjungan</x:v>
      </x:c>
      <x:c r="D49" s="9">
        <x:v>0</x:v>
      </x:c>
      <x:c r="E49" s="9">
        <x:v>0</x:v>
      </x:c>
      <x:c r="F49" s="9">
        <x:v>0</x:v>
      </x:c>
      <x:c r="G49" s="9">
        <x:v>0</x:v>
      </x:c>
      <x:c r="H49" s="9">
        <x:v>0</x:v>
      </x:c>
      <x:c r="I49" s="9">
        <x:v>0</x:v>
      </x:c>
      <x:c r="J49" s="9">
        <x:v>0</x:v>
      </x:c>
      <x:c r="K49" s="9">
        <x:v>0</x:v>
      </x:c>
      <x:c r="L49" s="9">
        <x:v>0</x:v>
      </x:c>
      <x:c r="M49" s="9">
        <x:v>0</x:v>
      </x:c>
      <x:c r="N49" s="9">
        <x:v>0</x:v>
      </x:c>
      <x:c r="O49" s="9">
        <x:v>0</x:v>
      </x:c>
      <x:c r="P49" s="11" t="n">
        <x:f>N49/5</x:f>
        <x:v>0</x:v>
      </x:c>
      <x:c r="Q49" s="11" t="n">
        <x:f>O49/40</x:f>
        <x:v>0</x:v>
      </x:c>
      <x:c r="R49" s="9">
        <x:v>0</x:v>
      </x:c>
      <x:c r="S49" s="11" t="n">
        <x:f>J49+K49+L49+M49+P49+Q49</x:f>
        <x:v>0</x:v>
      </x:c>
    </x:row>
    <x:row r="50" ht="28" customHeight="1">
      <x:c r="A50" s="3">
        <x:v>13</x:v>
      </x:c>
      <x:c r="B50" s="3" t="str">
        <x:v>Poliklinik Anak</x:v>
      </x:c>
      <x:c r="C50" s="9" t="str">
        <x:v>jumlah_kunjungan</x:v>
      </x:c>
      <x:c r="D50" s="9">
        <x:v>0</x:v>
      </x:c>
      <x:c r="E50" s="9">
        <x:v>0</x:v>
      </x:c>
      <x:c r="F50" s="9">
        <x:v>0</x:v>
      </x:c>
      <x:c r="G50" s="9">
        <x:v>0</x:v>
      </x:c>
      <x:c r="H50" s="9">
        <x:v>0</x:v>
      </x:c>
      <x:c r="I50" s="9">
        <x:v>0</x:v>
      </x:c>
      <x:c r="J50" s="9">
        <x:v>0</x:v>
      </x:c>
      <x:c r="K50" s="9">
        <x:v>0</x:v>
      </x:c>
      <x:c r="L50" s="9">
        <x:v>0</x:v>
      </x:c>
      <x:c r="M50" s="9">
        <x:v>0</x:v>
      </x:c>
      <x:c r="N50" s="9">
        <x:v>0</x:v>
      </x:c>
      <x:c r="O50" s="9">
        <x:v>0</x:v>
      </x:c>
      <x:c r="P50" s="11" t="n">
        <x:f>N50/5</x:f>
        <x:v>0</x:v>
      </x:c>
      <x:c r="Q50" s="11" t="n">
        <x:f>O50/40</x:f>
        <x:v>0</x:v>
      </x:c>
      <x:c r="R50" s="9">
        <x:v>0</x:v>
      </x:c>
      <x:c r="S50" s="11" t="n">
        <x:f>J50+K50+L50+M50+P50+Q50</x:f>
        <x:v>0</x:v>
      </x:c>
    </x:row>
    <x:row r="51" ht="28" customHeight="1">
      <x:c r="A51" s="3">
        <x:v>14</x:v>
      </x:c>
      <x:c r="B51" s="3" t="str">
        <x:v>Poliklinik Mata</x:v>
      </x:c>
      <x:c r="C51" s="9" t="str">
        <x:v>jumlah_kunjungan</x:v>
      </x:c>
      <x:c r="D51" s="9">
        <x:v>0</x:v>
      </x:c>
      <x:c r="E51" s="9">
        <x:v>0</x:v>
      </x:c>
      <x:c r="F51" s="9">
        <x:v>0</x:v>
      </x:c>
      <x:c r="G51" s="9">
        <x:v>0</x:v>
      </x:c>
      <x:c r="H51" s="9">
        <x:v>0</x:v>
      </x:c>
      <x:c r="I51" s="9">
        <x:v>0</x:v>
      </x:c>
      <x:c r="J51" s="9">
        <x:v>0</x:v>
      </x:c>
      <x:c r="K51" s="9">
        <x:v>0</x:v>
      </x:c>
      <x:c r="L51" s="9">
        <x:v>0</x:v>
      </x:c>
      <x:c r="M51" s="9">
        <x:v>0</x:v>
      </x:c>
      <x:c r="N51" s="9">
        <x:v>0</x:v>
      </x:c>
      <x:c r="O51" s="9">
        <x:v>0</x:v>
      </x:c>
      <x:c r="P51" s="11" t="n">
        <x:f>N51/5</x:f>
        <x:v>0</x:v>
      </x:c>
      <x:c r="Q51" s="11" t="n">
        <x:f>O51/40</x:f>
        <x:v>0</x:v>
      </x:c>
      <x:c r="R51" s="9">
        <x:v>0</x:v>
      </x:c>
      <x:c r="S51" s="11" t="n">
        <x:f>J51+K51+L51+M51+P51+Q51</x:f>
        <x:v>0</x:v>
      </x:c>
    </x:row>
    <x:row r="52" ht="28" customHeight="1">
      <x:c r="A52" s="3">
        <x:v>15</x:v>
      </x:c>
      <x:c r="B52" s="3" t="str">
        <x:v>Poliklinik THT</x:v>
      </x:c>
      <x:c r="C52" s="9" t="str">
        <x:v>jumlah_kunjungan</x:v>
      </x:c>
      <x:c r="D52" s="9">
        <x:v>0</x:v>
      </x:c>
      <x:c r="E52" s="9">
        <x:v>0</x:v>
      </x:c>
      <x:c r="F52" s="9">
        <x:v>0</x:v>
      </x:c>
      <x:c r="G52" s="9">
        <x:v>0</x:v>
      </x:c>
      <x:c r="H52" s="9">
        <x:v>0</x:v>
      </x:c>
      <x:c r="I52" s="9">
        <x:v>0</x:v>
      </x:c>
      <x:c r="J52" s="9">
        <x:v>0</x:v>
      </x:c>
      <x:c r="K52" s="9">
        <x:v>0</x:v>
      </x:c>
      <x:c r="L52" s="9">
        <x:v>0</x:v>
      </x:c>
      <x:c r="M52" s="9">
        <x:v>0</x:v>
      </x:c>
      <x:c r="N52" s="9">
        <x:v>0</x:v>
      </x:c>
      <x:c r="O52" s="9">
        <x:v>0</x:v>
      </x:c>
      <x:c r="P52" s="11" t="n">
        <x:f>N52/5</x:f>
        <x:v>0</x:v>
      </x:c>
      <x:c r="Q52" s="11" t="n">
        <x:f>O52/40</x:f>
        <x:v>0</x:v>
      </x:c>
      <x:c r="R52" s="9">
        <x:v>0</x:v>
      </x:c>
      <x:c r="S52" s="11" t="n">
        <x:f>J52+K52+L52+M52+P52+Q52</x:f>
        <x:v>0</x:v>
      </x:c>
    </x:row>
    <x:row r="53" ht="28" customHeight="1">
      <x:c r="A53" s="3">
        <x:v>16</x:v>
      </x:c>
      <x:c r="B53" s="3" t="str">
        <x:v>Poliklinik Psikiatri</x:v>
      </x:c>
      <x:c r="C53" s="9" t="str">
        <x:v>jumlah_kunjungan</x:v>
      </x:c>
      <x:c r="D53" s="9">
        <x:v>0</x:v>
      </x:c>
      <x:c r="E53" s="9">
        <x:v>0</x:v>
      </x:c>
      <x:c r="F53" s="9">
        <x:v>0</x:v>
      </x:c>
      <x:c r="G53" s="9">
        <x:v>0</x:v>
      </x:c>
      <x:c r="H53" s="9">
        <x:v>0</x:v>
      </x:c>
      <x:c r="I53" s="9">
        <x:v>0</x:v>
      </x:c>
      <x:c r="J53" s="9">
        <x:v>0</x:v>
      </x:c>
      <x:c r="K53" s="9">
        <x:v>0</x:v>
      </x:c>
      <x:c r="L53" s="9">
        <x:v>0</x:v>
      </x:c>
      <x:c r="M53" s="9">
        <x:v>0</x:v>
      </x:c>
      <x:c r="N53" s="9">
        <x:v>0</x:v>
      </x:c>
      <x:c r="O53" s="9">
        <x:v>0</x:v>
      </x:c>
      <x:c r="P53" s="11" t="n">
        <x:f>N53/5</x:f>
        <x:v>0</x:v>
      </x:c>
      <x:c r="Q53" s="11" t="n">
        <x:f>O53/40</x:f>
        <x:v>0</x:v>
      </x:c>
      <x:c r="R53" s="9">
        <x:v>0</x:v>
      </x:c>
      <x:c r="S53" s="11" t="n">
        <x:f>J53+K53+L53+M53+P53+Q53</x:f>
        <x:v>0</x:v>
      </x:c>
    </x:row>
    <x:row r="54" ht="28" customHeight="1">
      <x:c r="A54" s="3">
        <x:v>17</x:v>
      </x:c>
      <x:c r="B54" s="3" t="str">
        <x:v>Poliklinik Gigi &amp; Mulut</x:v>
      </x:c>
      <x:c r="C54" s="9" t="str">
        <x:v>jumlah_kunjungan</x:v>
      </x:c>
      <x:c r="D54" s="9">
        <x:v>0</x:v>
      </x:c>
      <x:c r="E54" s="9">
        <x:v>0</x:v>
      </x:c>
      <x:c r="F54" s="9">
        <x:v>0</x:v>
      </x:c>
      <x:c r="G54" s="9">
        <x:v>0</x:v>
      </x:c>
      <x:c r="H54" s="9">
        <x:v>0</x:v>
      </x:c>
      <x:c r="I54" s="9">
        <x:v>0</x:v>
      </x:c>
      <x:c r="J54" s="9">
        <x:v>0</x:v>
      </x:c>
      <x:c r="K54" s="9">
        <x:v>0</x:v>
      </x:c>
      <x:c r="L54" s="9">
        <x:v>0</x:v>
      </x:c>
      <x:c r="M54" s="9">
        <x:v>0</x:v>
      </x:c>
      <x:c r="N54" s="9">
        <x:v>0</x:v>
      </x:c>
      <x:c r="O54" s="9">
        <x:v>0</x:v>
      </x:c>
      <x:c r="P54" s="11" t="n">
        <x:f>N54/5</x:f>
        <x:v>0</x:v>
      </x:c>
      <x:c r="Q54" s="11" t="n">
        <x:f>O54/40</x:f>
        <x:v>0</x:v>
      </x:c>
      <x:c r="R54" s="9">
        <x:v>0</x:v>
      </x:c>
      <x:c r="S54" s="11" t="n">
        <x:f>J54+K54+L54+M54+P54+Q54</x:f>
        <x:v>0</x:v>
      </x:c>
    </x:row>
    <x:row r="55" ht="28" customHeight="1">
      <x:c r="A55" s="3">
        <x:v>18</x:v>
      </x:c>
      <x:c r="B55" s="3" t="str">
        <x:v>Poliklinik Kulit &amp; Kelamin</x:v>
      </x:c>
      <x:c r="C55" s="9" t="str">
        <x:v>jumlah_kunjungan</x:v>
      </x:c>
      <x:c r="D55" s="9">
        <x:v>0</x:v>
      </x:c>
      <x:c r="E55" s="9">
        <x:v>0</x:v>
      </x:c>
      <x:c r="F55" s="9">
        <x:v>0</x:v>
      </x:c>
      <x:c r="G55" s="9">
        <x:v>0</x:v>
      </x:c>
      <x:c r="H55" s="9">
        <x:v>0</x:v>
      </x:c>
      <x:c r="I55" s="9">
        <x:v>0</x:v>
      </x:c>
      <x:c r="J55" s="9">
        <x:v>0</x:v>
      </x:c>
      <x:c r="K55" s="9">
        <x:v>0</x:v>
      </x:c>
      <x:c r="L55" s="9">
        <x:v>0</x:v>
      </x:c>
      <x:c r="M55" s="9">
        <x:v>0</x:v>
      </x:c>
      <x:c r="N55" s="9">
        <x:v>0</x:v>
      </x:c>
      <x:c r="O55" s="9">
        <x:v>0</x:v>
      </x:c>
      <x:c r="P55" s="11" t="n">
        <x:f>N55/5</x:f>
        <x:v>0</x:v>
      </x:c>
      <x:c r="Q55" s="11" t="n">
        <x:f>O55/40</x:f>
        <x:v>0</x:v>
      </x:c>
      <x:c r="R55" s="9">
        <x:v>0</x:v>
      </x:c>
      <x:c r="S55" s="11" t="n">
        <x:f>J55+K55+L55+M55+P55+Q55</x:f>
        <x:v>0</x:v>
      </x:c>
    </x:row>
    <x:row r="56" ht="28" customHeight="1">
      <x:c r="A56" s="3">
        <x:v>19</x:v>
      </x:c>
      <x:c r="B56" s="3" t="str">
        <x:v>Poliklinik Saraf</x:v>
      </x:c>
      <x:c r="C56" s="9" t="str">
        <x:v>jumlah_kunjungan</x:v>
      </x:c>
      <x:c r="D56" s="9">
        <x:v>0</x:v>
      </x:c>
      <x:c r="E56" s="9">
        <x:v>0</x:v>
      </x:c>
      <x:c r="F56" s="9">
        <x:v>0</x:v>
      </x:c>
      <x:c r="G56" s="9">
        <x:v>0</x:v>
      </x:c>
      <x:c r="H56" s="9">
        <x:v>0</x:v>
      </x:c>
      <x:c r="I56" s="9">
        <x:v>0</x:v>
      </x:c>
      <x:c r="J56" s="9">
        <x:v>0</x:v>
      </x:c>
      <x:c r="K56" s="9">
        <x:v>0</x:v>
      </x:c>
      <x:c r="L56" s="9">
        <x:v>0</x:v>
      </x:c>
      <x:c r="M56" s="9">
        <x:v>0</x:v>
      </x:c>
      <x:c r="N56" s="9">
        <x:v>0</x:v>
      </x:c>
      <x:c r="O56" s="9">
        <x:v>0</x:v>
      </x:c>
      <x:c r="P56" s="11" t="n">
        <x:f>N56/5</x:f>
        <x:v>0</x:v>
      </x:c>
      <x:c r="Q56" s="11" t="n">
        <x:f>O56/40</x:f>
        <x:v>0</x:v>
      </x:c>
      <x:c r="R56" s="9">
        <x:v>0</x:v>
      </x:c>
      <x:c r="S56" s="11" t="n">
        <x:f>J56+K56+L56+M56+P56+Q56</x:f>
        <x:v>0</x:v>
      </x:c>
    </x:row>
    <x:row r="57" ht="28" customHeight="1">
      <x:c r="A57" s="3">
        <x:v>20</x:v>
      </x:c>
      <x:c r="B57" s="3" t="str">
        <x:v>Poliklinik Orthopedi</x:v>
      </x:c>
      <x:c r="C57" s="9" t="str">
        <x:v>jumlah_kunjungan</x:v>
      </x:c>
      <x:c r="D57" s="9">
        <x:v>0</x:v>
      </x:c>
      <x:c r="E57" s="9">
        <x:v>0</x:v>
      </x:c>
      <x:c r="F57" s="9">
        <x:v>0</x:v>
      </x:c>
      <x:c r="G57" s="9">
        <x:v>0</x:v>
      </x:c>
      <x:c r="H57" s="9">
        <x:v>0</x:v>
      </x:c>
      <x:c r="I57" s="9">
        <x:v>0</x:v>
      </x:c>
      <x:c r="J57" s="9">
        <x:v>0</x:v>
      </x:c>
      <x:c r="K57" s="9">
        <x:v>0</x:v>
      </x:c>
      <x:c r="L57" s="9">
        <x:v>0</x:v>
      </x:c>
      <x:c r="M57" s="9">
        <x:v>0</x:v>
      </x:c>
      <x:c r="N57" s="9">
        <x:v>0</x:v>
      </x:c>
      <x:c r="O57" s="9">
        <x:v>0</x:v>
      </x:c>
      <x:c r="P57" s="11" t="n">
        <x:f>N57/5</x:f>
        <x:v>0</x:v>
      </x:c>
      <x:c r="Q57" s="11" t="n">
        <x:f>O57/40</x:f>
        <x:v>0</x:v>
      </x:c>
      <x:c r="R57" s="9">
        <x:v>0</x:v>
      </x:c>
      <x:c r="S57" s="11" t="n">
        <x:f>J57+K57+L57+M57+P57+Q57</x:f>
        <x:v>0</x:v>
      </x:c>
    </x:row>
    <x:row r="58" ht="28" customHeight="1">
      <x:c r="A58" s="3">
        <x:v>21</x:v>
      </x:c>
      <x:c r="B58" s="3" t="str">
        <x:v>Poliklinik Urologi</x:v>
      </x:c>
      <x:c r="C58" s="9" t="str">
        <x:v>jumlah_kunjungan</x:v>
      </x:c>
      <x:c r="D58" s="9">
        <x:v>0</x:v>
      </x:c>
      <x:c r="E58" s="9">
        <x:v>0</x:v>
      </x:c>
      <x:c r="F58" s="9">
        <x:v>0</x:v>
      </x:c>
      <x:c r="G58" s="9">
        <x:v>0</x:v>
      </x:c>
      <x:c r="H58" s="9">
        <x:v>0</x:v>
      </x:c>
      <x:c r="I58" s="9">
        <x:v>0</x:v>
      </x:c>
      <x:c r="J58" s="9">
        <x:v>0</x:v>
      </x:c>
      <x:c r="K58" s="9">
        <x:v>0</x:v>
      </x:c>
      <x:c r="L58" s="9">
        <x:v>0</x:v>
      </x:c>
      <x:c r="M58" s="9">
        <x:v>0</x:v>
      </x:c>
      <x:c r="N58" s="9">
        <x:v>0</x:v>
      </x:c>
      <x:c r="O58" s="9">
        <x:v>0</x:v>
      </x:c>
      <x:c r="P58" s="11" t="n">
        <x:f>N58/5</x:f>
        <x:v>0</x:v>
      </x:c>
      <x:c r="Q58" s="11" t="n">
        <x:f>O58/40</x:f>
        <x:v>0</x:v>
      </x:c>
      <x:c r="R58" s="9">
        <x:v>0</x:v>
      </x:c>
      <x:c r="S58" s="11" t="n">
        <x:f>J58+K58+L58+M58+P58+Q58</x:f>
        <x:v>0</x:v>
      </x:c>
    </x:row>
    <x:row r="59" ht="28" customHeight="1">
      <x:c r="A59" s="3">
        <x:v>22</x:v>
      </x:c>
      <x:c r="B59" s="3" t="str">
        <x:v>Hemodialisa</x:v>
      </x:c>
      <x:c r="C59" s="9" t="str">
        <x:v>jumlah_kunjungan</x:v>
      </x:c>
      <x:c r="D59" s="9">
        <x:v>0</x:v>
      </x:c>
      <x:c r="E59" s="9">
        <x:v>0</x:v>
      </x:c>
      <x:c r="F59" s="9">
        <x:v>0</x:v>
      </x:c>
      <x:c r="G59" s="9">
        <x:v>0</x:v>
      </x:c>
      <x:c r="H59" s="9">
        <x:v>0</x:v>
      </x:c>
      <x:c r="I59" s="9">
        <x:v>0</x:v>
      </x:c>
      <x:c r="J59" s="9">
        <x:v>0</x:v>
      </x:c>
      <x:c r="K59" s="9">
        <x:v>0</x:v>
      </x:c>
      <x:c r="L59" s="9">
        <x:v>0</x:v>
      </x:c>
      <x:c r="M59" s="9">
        <x:v>0</x:v>
      </x:c>
      <x:c r="N59" s="9">
        <x:v>0</x:v>
      </x:c>
      <x:c r="O59" s="9">
        <x:v>0</x:v>
      </x:c>
      <x:c r="P59" s="11" t="n">
        <x:f>N59/5</x:f>
        <x:v>0</x:v>
      </x:c>
      <x:c r="Q59" s="11" t="n">
        <x:f>O59/40</x:f>
        <x:v>0</x:v>
      </x:c>
      <x:c r="R59" s="9">
        <x:v>0</x:v>
      </x:c>
      <x:c r="S59" s="11" t="n">
        <x:f>J59+K59+L59+M59+P59+Q59</x:f>
        <x:v>0</x:v>
      </x:c>
    </x:row>
    <x:row r="60" ht="28" customHeight="1">
      <x:c r="A60" s="3">
        <x:v>23</x:v>
      </x:c>
      <x:c r="B60" s="3" t="str">
        <x:v>Medical Check Up (MCU)</x:v>
      </x:c>
      <x:c r="C60" s="9" t="str">
        <x:v>jumlah_kunjungan</x:v>
      </x:c>
      <x:c r="D60" s="9">
        <x:v>0</x:v>
      </x:c>
      <x:c r="E60" s="9">
        <x:v>0</x:v>
      </x:c>
      <x:c r="F60" s="9">
        <x:v>0</x:v>
      </x:c>
      <x:c r="G60" s="9">
        <x:v>0</x:v>
      </x:c>
      <x:c r="H60" s="9">
        <x:v>0</x:v>
      </x:c>
      <x:c r="I60" s="9">
        <x:v>0</x:v>
      </x:c>
      <x:c r="J60" s="9">
        <x:v>0</x:v>
      </x:c>
      <x:c r="K60" s="9">
        <x:v>0</x:v>
      </x:c>
      <x:c r="L60" s="9">
        <x:v>0</x:v>
      </x:c>
      <x:c r="M60" s="9">
        <x:v>0</x:v>
      </x:c>
      <x:c r="N60" s="9">
        <x:v>0</x:v>
      </x:c>
      <x:c r="O60" s="9">
        <x:v>0</x:v>
      </x:c>
      <x:c r="P60" s="11" t="n">
        <x:f>N60/5</x:f>
        <x:v>0</x:v>
      </x:c>
      <x:c r="Q60" s="11" t="n">
        <x:f>O60/40</x:f>
        <x:v>0</x:v>
      </x:c>
      <x:c r="R60" s="9">
        <x:v>0</x:v>
      </x:c>
      <x:c r="S60" s="11" t="n">
        <x:f>J60+K60+L60+M60+P60+Q60</x:f>
        <x:v>0</x:v>
      </x:c>
    </x:row>
    <x:row r="61" ht="28" customHeight="1">
      <x:c r="A61" s="3">
        <x:v>24</x:v>
      </x:c>
      <x:c r="B61" s="3" t="str">
        <x:v>Telemedicine</x:v>
      </x:c>
      <x:c r="C61" s="9" t="str">
        <x:v>jumlah_kunjungan</x:v>
      </x:c>
      <x:c r="D61" s="9">
        <x:v>0</x:v>
      </x:c>
      <x:c r="E61" s="9">
        <x:v>0</x:v>
      </x:c>
      <x:c r="F61" s="9">
        <x:v>0</x:v>
      </x:c>
      <x:c r="G61" s="9">
        <x:v>0</x:v>
      </x:c>
      <x:c r="H61" s="9">
        <x:v>0</x:v>
      </x:c>
      <x:c r="I61" s="9">
        <x:v>0</x:v>
      </x:c>
      <x:c r="J61" s="9">
        <x:v>0</x:v>
      </x:c>
      <x:c r="K61" s="9">
        <x:v>0</x:v>
      </x:c>
      <x:c r="L61" s="9">
        <x:v>0</x:v>
      </x:c>
      <x:c r="M61" s="9">
        <x:v>0</x:v>
      </x:c>
      <x:c r="N61" s="9">
        <x:v>0</x:v>
      </x:c>
      <x:c r="O61" s="9">
        <x:v>0</x:v>
      </x:c>
      <x:c r="P61" s="11" t="n">
        <x:f>N61/5</x:f>
        <x:v>0</x:v>
      </x:c>
      <x:c r="Q61" s="11" t="n">
        <x:f>O61/40</x:f>
        <x:v>0</x:v>
      </x:c>
      <x:c r="R61" s="9">
        <x:v>0</x:v>
      </x:c>
      <x:c r="S61" s="11" t="n">
        <x:f>J61+K61+L61+M61+P61+Q61</x:f>
        <x:v>0</x:v>
      </x:c>
    </x:row>
    <x:row r="62" ht="28" customHeight="1">
      <x:c r="A62" s="3">
        <x:v>25</x:v>
      </x:c>
      <x:c r="B62" s="3" t="str">
        <x:v>Day Care</x:v>
      </x:c>
      <x:c r="C62" s="9" t="str">
        <x:v>jumlah_kunjungan</x:v>
      </x:c>
      <x:c r="D62" s="9">
        <x:v>0</x:v>
      </x:c>
      <x:c r="E62" s="9">
        <x:v>0</x:v>
      </x:c>
      <x:c r="F62" s="9">
        <x:v>0</x:v>
      </x:c>
      <x:c r="G62" s="9">
        <x:v>0</x:v>
      </x:c>
      <x:c r="H62" s="9">
        <x:v>0</x:v>
      </x:c>
      <x:c r="I62" s="9">
        <x:v>0</x:v>
      </x:c>
      <x:c r="J62" s="9">
        <x:v>0</x:v>
      </x:c>
      <x:c r="K62" s="9">
        <x:v>0</x:v>
      </x:c>
      <x:c r="L62" s="9">
        <x:v>0</x:v>
      </x:c>
      <x:c r="M62" s="9">
        <x:v>0</x:v>
      </x:c>
      <x:c r="N62" s="9">
        <x:v>0</x:v>
      </x:c>
      <x:c r="O62" s="9">
        <x:v>0</x:v>
      </x:c>
      <x:c r="P62" s="11" t="n">
        <x:f>N62/5</x:f>
        <x:v>0</x:v>
      </x:c>
      <x:c r="Q62" s="11" t="n">
        <x:f>O62/40</x:f>
        <x:v>0</x:v>
      </x:c>
      <x:c r="R62" s="9">
        <x:v>0</x:v>
      </x:c>
      <x:c r="S62" s="11" t="n">
        <x:f>J62+K62+L62+M62+P62+Q62</x:f>
        <x:v>0</x:v>
      </x:c>
    </x:row>
    <x:row r="63" ht="28" customHeight="1">
      <x:c r="A63" s="3">
        <x:v>26</x:v>
      </x:c>
      <x:c r="B63" s="3" t="str">
        <x:v>Home Care</x:v>
      </x:c>
      <x:c r="C63" s="9" t="str">
        <x:v>jumlah_kunjungan</x:v>
      </x:c>
      <x:c r="D63" s="9">
        <x:v>0</x:v>
      </x:c>
      <x:c r="E63" s="9">
        <x:v>0</x:v>
      </x:c>
      <x:c r="F63" s="9">
        <x:v>0</x:v>
      </x:c>
      <x:c r="G63" s="9">
        <x:v>0</x:v>
      </x:c>
      <x:c r="H63" s="9">
        <x:v>0</x:v>
      </x:c>
      <x:c r="I63" s="9">
        <x:v>0</x:v>
      </x:c>
      <x:c r="J63" s="9">
        <x:v>0</x:v>
      </x:c>
      <x:c r="K63" s="9">
        <x:v>0</x:v>
      </x:c>
      <x:c r="L63" s="9">
        <x:v>0</x:v>
      </x:c>
      <x:c r="M63" s="9">
        <x:v>0</x:v>
      </x:c>
      <x:c r="N63" s="9">
        <x:v>0</x:v>
      </x:c>
      <x:c r="O63" s="9">
        <x:v>0</x:v>
      </x:c>
      <x:c r="P63" s="11" t="n">
        <x:f>N63/5</x:f>
        <x:v>0</x:v>
      </x:c>
      <x:c r="Q63" s="11" t="n">
        <x:f>O63/40</x:f>
        <x:v>0</x:v>
      </x:c>
      <x:c r="R63" s="9">
        <x:v>0</x:v>
      </x:c>
      <x:c r="S63" s="11" t="n">
        <x:f>J63+K63+L63+M63+P63+Q63</x:f>
        <x:v>0</x:v>
      </x:c>
    </x:row>
    <x:row r="64" ht="28" customHeight="1">
      <x:c r="A64" s="3" t="str"/>
      <x:c r="B64" s="3" t="str">
        <x:v>TOTAL LAYANAN PASIEN</x:v>
      </x:c>
      <x:c r="C64" s="3" t="str"/>
      <x:c r="D64" s="3" t="str"/>
      <x:c r="E64" s="3" t="str"/>
      <x:c r="F64" s="3" t="str"/>
      <x:c r="G64" s="3" t="str"/>
      <x:c r="H64" s="3" t="str"/>
      <x:c r="I64" s="3" t="str"/>
      <x:c r="J64" s="3" t="str"/>
      <x:c r="K64" s="3" t="str"/>
      <x:c r="L64" s="3" t="str"/>
      <x:c r="M64" s="3" t="str"/>
      <x:c r="N64" s="3" t="str"/>
      <x:c r="O64" s="3" t="str"/>
      <x:c r="P64" s="3" t="str"/>
      <x:c r="Q64" s="3" t="str"/>
      <x:c r="R64" s="3" t="str"/>
      <x:c r="S64" s="11" t="n">
        <x:f>SUM(S38:S63)</x:f>
        <x:v>0</x:v>
      </x:c>
    </x:row>
    <x:row r="65" ht="28" customHeight="1">
      <x:c r="A65" s="3" t="str"/>
      <x:c r="B65" s="3" t="str">
        <x:v>TOTAL BIAYA COSTING RS</x:v>
      </x:c>
      <x:c r="C65" s="3" t="str"/>
      <x:c r="D65" s="3" t="str"/>
      <x:c r="E65" s="3" t="str"/>
      <x:c r="F65" s="3" t="str"/>
      <x:c r="G65" s="3" t="str"/>
      <x:c r="H65" s="3" t="str"/>
      <x:c r="I65" s="3" t="str"/>
      <x:c r="J65" s="3" t="str"/>
      <x:c r="K65" s="3" t="str"/>
      <x:c r="L65" s="3" t="str"/>
      <x:c r="M65" s="3" t="str"/>
      <x:c r="N65" s="3" t="str"/>
      <x:c r="O65" s="3" t="str"/>
      <x:c r="P65" s="3" t="str"/>
      <x:c r="Q65" s="3" t="str"/>
      <x:c r="R65" s="3" t="str"/>
      <x:c r="S65" s="11" t="n">
        <x:f>S18+S34+S64</x:f>
        <x:v>0</x:v>
      </x:c>
    </x:row>
    <x:row r="66" ht="28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</x:row>
    <x:row r="67" ht="28" customHeight="1">
      <x:c r="A67" s="3" t="str">
        <x:v>CATATAN:</x:v>
      </x:c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 ht="28" customHeight="1">
      <x:c r="A68" s="3" t="str">
        <x:v>Kolom "Dasar Alokasi" isi dengan: jumlah_staf / luas_lantai / hari_rawat / jumlah_kunjungan / jumlah_pasien</x:v>
      </x:c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 ht="28" customHeight="1">
      <x:c r="A69" s="3" t="str">
        <x:v>Semua biaya dalam satuan RUPIAH (tanpa titik/koma)</x:v>
      </x:c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 ht="28" customHeight="1">
      <x:c r="A70" s="3" t="str">
        <x:v>Data harus bersumber dari Laporan Keuangan yang sudah DIAUDIT</x:v>
      </x:c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18.889999389648438" hidden="0" customWidth="1"/>
    <x:col min="2" max="2" width="25.559999465942383" hidden="0" customWidth="1"/>
    <x:col min="3" max="3" width="21.670000076293945" hidden="0" customWidth="1"/>
    <x:col min="4" max="4" width="68.88999938964844" hidden="0" customWidth="1"/>
  </x:cols>
  <x:sheetData>
    <x:row r="1" ht="38" customHeight="1">
      <x:c r="A1" s="7" t="str">
        <x:v>Sheet</x:v>
      </x:c>
      <x:c r="B1" s="7" t="str">
        <x:v>Kolom</x:v>
      </x:c>
      <x:c r="C1" s="7" t="str">
        <x:v>Satuan</x:v>
      </x:c>
      <x:c r="D1" s="7" t="str">
        <x:v>Cara mengisi</x:v>
      </x:c>
    </x:row>
    <x:row r="2" ht="46" customHeight="1">
      <x:c r="A2" s="3" t="str">
        <x:v>Data Dasar RS</x:v>
      </x:c>
      <x:c r="B2" s="3" t="str">
        <x:v>Nama Rumah Sakit / Tipe RS / Kepemilikan</x:v>
      </x:c>
      <x:c r="C2" s="3" t="str">
        <x:v>teks</x:v>
      </x:c>
      <x:c r="D2" s="3" t="str">
        <x:v>Isi identitas sebenarnya. Jangan mengetik angka biaya pada baris identitas.</x:v>
      </x:c>
    </x:row>
    <x:row r="3" ht="38" customHeight="1">
      <x:c r="A3" s="6" t="str">
        <x:v>Data Dasar RS</x:v>
      </x:c>
      <x:c r="B3" s="6" t="str">
        <x:v>Tahun Data</x:v>
      </x:c>
      <x:c r="C3" s="6" t="str">
        <x:v>tahun</x:v>
      </x:c>
      <x:c r="D3" s="6" t="str">
        <x:v>Tahun laporan biaya. Tahun ini harus sama dengan tahun pada Costing Template.</x:v>
      </x:c>
    </x:row>
    <x:row r="4" ht="38" customHeight="1">
      <x:c r="A4" s="3" t="str">
        <x:v>Data Dasar RS</x:v>
      </x:c>
      <x:c r="B4" s="3" t="str">
        <x:v>BOR (%)</x:v>
      </x:c>
      <x:c r="C4" s="3" t="str">
        <x:v>persen, skala 0–100</x:v>
      </x:c>
      <x:c r="D4" s="3" t="str">
        <x:v>Jika tersedia pada template 18 Komponen, isi 75 untuk BOR 75%, bukan 0,75.</x:v>
      </x:c>
    </x:row>
    <x:row r="5" ht="38" customHeight="1">
      <x:c r="A5" s="6" t="str">
        <x:v>Data Dasar RS</x:v>
      </x:c>
      <x:c r="B5" s="6" t="str">
        <x:v>ALOS / Tempat Tidur / SDM</x:v>
      </x:c>
      <x:c r="C5" s="6" t="str">
        <x:v>hari / tempat tidur / orang</x:v>
      </x:c>
      <x:c r="D5" s="6" t="str">
        <x:v>Ringkasan operasional RS. Angka per unit diisi pada Costing Template.</x:v>
      </x:c>
    </x:row>
    <x:row r="6" ht="46" customHeight="1">
      <x:c r="A6" s="3" t="str">
        <x:v>Data Dasar RS</x:v>
      </x:c>
      <x:c r="B6" s="3" t="str">
        <x:v>Biaya dan Pendapatan</x:v>
      </x:c>
      <x:c r="C6" s="3" t="str">
        <x:v>rupiah / periode biaya</x:v>
      </x:c>
      <x:c r="D6" s="3" t="str">
        <x:v>Gunakan angka kontrol dari laporan keuangan. Pendapatan JKN dan Non-JKN dicatat terpisah.</x:v>
      </x:c>
    </x:row>
    <x:row r="7" ht="38" customHeight="1">
      <x:c r="A7" s="6" t="str">
        <x:v>Costing Template</x:v>
      </x:c>
      <x:c r="B7" s="6" t="str">
        <x:v>No / Nama Unit</x:v>
      </x:c>
      <x:c r="C7" s="6" t="str">
        <x:v>nomor / teks</x:v>
      </x:c>
      <x:c r="D7" s="6" t="str">
        <x:v>Gunakan nama unit yang jelas. Nomor berada pada kolom pertama, nama pada kolom kedua.</x:v>
      </x:c>
    </x:row>
    <x:row r="8" ht="46" customHeight="1">
      <x:c r="A8" s="3" t="str">
        <x:v>Costing Template</x:v>
      </x:c>
      <x:c r="B8" s="3" t="str">
        <x:v>Dasar Alokasi</x:v>
      </x:c>
      <x:c r="C8" s="3" t="str">
        <x:v>kode</x:v>
      </x:c>
      <x:c r="D8" s="3" t="str">
        <x:v>Pilih ukuran aktivitas yang sesuai unit. Contoh rawat jalan: jumlah_kunjungan; rawat inap: hari_rawat. Jangan menjumlahkan kunjungan dan hari rawat.</x:v>
      </x:c>
    </x:row>
    <x:row r="9" ht="46" customHeight="1">
      <x:c r="A9" s="6" t="str">
        <x:v>Costing Template</x:v>
      </x:c>
      <x:c r="B9" s="6" t="str">
        <x:v>Jumlah Staf</x:v>
      </x:c>
      <x:c r="C9" s="6" t="str">
        <x:v>orang</x:v>
      </x:c>
      <x:c r="D9" s="6" t="str">
        <x:v>Jumlah staf unit selama periode data. Ambil dari kepegawaian dengan definisi yang konsisten.</x:v>
      </x:c>
    </x:row>
    <x:row r="10" ht="38" customHeight="1">
      <x:c r="A10" s="3" t="str">
        <x:v>Costing Template</x:v>
      </x:c>
      <x:c r="B10" s="3" t="str">
        <x:v>Hari Rawat</x:v>
      </x:c>
      <x:c r="C10" s="3" t="str">
        <x:v>hari perawatan</x:v>
      </x:c>
      <x:c r="D10" s="3" t="str">
        <x:v>Akumulasi hari rawat seluruh pasien, bukan jumlah pasien dan bukan ALOS.</x:v>
      </x:c>
    </x:row>
    <x:row r="11" ht="38" customHeight="1">
      <x:c r="A11" s="6" t="str">
        <x:v>Costing Template</x:v>
      </x:c>
      <x:c r="B11" s="6" t="str">
        <x:v>Pasien Pulang</x:v>
      </x:c>
      <x:c r="C11" s="6" t="str">
        <x:v>kasus pulang</x:v>
      </x:c>
      <x:c r="D11" s="6" t="str">
        <x:v>Jumlah kasus rawat inap yang pulang pada periode tersebut.</x:v>
      </x:c>
    </x:row>
    <x:row r="12" ht="38" customHeight="1">
      <x:c r="A12" s="3" t="str">
        <x:v>Costing Template</x:v>
      </x:c>
      <x:c r="B12" s="3" t="str">
        <x:v>Jml Kunjungan</x:v>
      </x:c>
      <x:c r="C12" s="3" t="str">
        <x:v>kunjungan</x:v>
      </x:c>
      <x:c r="D12" s="3" t="str">
        <x:v>Jumlah kontak layanan unit. Definisi kunjungan harus sama dengan sumber statistik RS.</x:v>
      </x:c>
    </x:row>
    <x:row r="13" ht="38" customHeight="1">
      <x:c r="A13" s="6" t="str">
        <x:v>Costing Template</x:v>
      </x:c>
      <x:c r="B13" s="6" t="str">
        <x:v>ALOS</x:v>
      </x:c>
      <x:c r="C13" s="6" t="str">
        <x:v>hari per kasus</x:v>
      </x:c>
      <x:c r="D13" s="6" t="str">
        <x:v>Rata-rata lama rawat. Contoh 1500 hari rawat / 300 pasien pulang = 5 hari.</x:v>
      </x:c>
    </x:row>
    <x:row r="14" ht="38" customHeight="1">
      <x:c r="A14" s="3" t="str">
        <x:v>Costing Template</x:v>
      </x:c>
      <x:c r="B14" s="3" t="str">
        <x:v>Jml Tempat Tidur</x:v>
      </x:c>
      <x:c r="C14" s="3" t="str">
        <x:v>tempat tidur</x:v>
      </x:c>
      <x:c r="D14" s="3" t="str">
        <x:v>Tempat tidur operasional unit, bukan jumlah tempat tidur yang kosong.</x:v>
      </x:c>
    </x:row>
    <x:row r="15" ht="46" customHeight="1">
      <x:c r="A15" s="6" t="str">
        <x:v>Costing Template</x:v>
      </x:c>
      <x:c r="B15" s="6" t="str">
        <x:v>Biaya Gaji</x:v>
      </x:c>
      <x:c r="C15" s="6" t="str">
        <x:v>rupiah / periode biaya</x:v>
      </x:c>
      <x:c r="D15" s="6" t="str">
        <x:v>Total biaya pegawai yang menjadi beban unit. Hindari pencatatan ulang remunerasi yang sudah masuk gaji.</x:v>
      </x:c>
    </x:row>
    <x:row r="16" ht="38" customHeight="1">
      <x:c r="A16" s="3" t="str">
        <x:v>Costing Template</x:v>
      </x:c>
      <x:c r="B16" s="3" t="str">
        <x:v>Biaya Jasa Medis</x:v>
      </x:c>
      <x:c r="C16" s="3" t="str">
        <x:v>rupiah / periode biaya</x:v>
      </x:c>
      <x:c r="D16" s="3" t="str">
        <x:v>Beban jasa medis unit sesuai pemisahan akun RS.</x:v>
      </x:c>
    </x:row>
    <x:row r="17" ht="38" customHeight="1">
      <x:c r="A17" s="6" t="str">
        <x:v>Costing Template</x:v>
      </x:c>
      <x:c r="B17" s="6" t="str">
        <x:v>Biaya Jasa Medis Lain</x:v>
      </x:c>
      <x:c r="C17" s="6" t="str">
        <x:v>rupiah / periode biaya</x:v>
      </x:c>
      <x:c r="D17" s="6" t="str">
        <x:v>Jasa lain yang belum masuk Gaji atau Jasa Medis. Periksa definisi akun RS.</x:v>
      </x:c>
    </x:row>
    <x:row r="18" ht="38" customHeight="1">
      <x:c r="A18" s="3" t="str">
        <x:v>Costing Template</x:v>
      </x:c>
      <x:c r="B18" s="3" t="str">
        <x:v>Biaya Operasional</x:v>
      </x:c>
      <x:c r="C18" s="3" t="str">
        <x:v>rupiah / periode biaya</x:v>
      </x:c>
      <x:c r="D18" s="3" t="str">
        <x:v>Biaya langsung operasional unit. Pisahkan penyusutan yang akan dihitung melalui aset.</x:v>
      </x:c>
    </x:row>
    <x:row r="19" ht="46" customHeight="1">
      <x:c r="A19" s="6" t="str">
        <x:v>Costing Template</x:v>
      </x:c>
      <x:c r="B19" s="6" t="str">
        <x:v>Nilai Alat</x:v>
      </x:c>
      <x:c r="C19" s="6" t="str">
        <x:v>rupiah nilai perolehan</x:v>
      </x:c>
      <x:c r="D19" s="6" t="str">
        <x:v>Nilai perolehan alat, bukan penyusutan 20000000 per tahun. Asumsi umur pada alur 18 Komponen adalah 5 tahun.</x:v>
      </x:c>
    </x:row>
    <x:row r="20" ht="38" customHeight="1">
      <x:c r="A20" s="3" t="str">
        <x:v>Costing Template</x:v>
      </x:c>
      <x:c r="B20" s="3" t="str">
        <x:v>Investasi Gedung</x:v>
      </x:c>
      <x:c r="C20" s="3" t="str">
        <x:v>rupiah nilai perolehan</x:v>
      </x:c>
      <x:c r="D20" s="3" t="str">
        <x:v>Nilai gedung yang menjadi dasar penyusutan. Asumsi umur gedung 40 tahun.</x:v>
      </x:c>
    </x:row>
    <x:row r="21" ht="46" customHeight="1">
      <x:c r="A21" s="6" t="str">
        <x:v>Costing Template</x:v>
      </x:c>
      <x:c r="B21" s="6" t="str">
        <x:v>Dep. Peralatan / Dep. Gedung / Total</x:v>
      </x:c>
      <x:c r="C21" s="6" t="str">
        <x:v>rupiah</x:v>
      </x:c>
      <x:c r="D21" s="6" t="str">
        <x:v>Pada template 18 Komponen kolom ini otomatis. Jangan mengganti formulanya. Perhitungan aplikasi tetap menjadi hasil utama.</x:v>
      </x:c>
    </x:row>
    <x:row r="22" ht="38" customHeight="1">
      <x:c r="A22" s="3" t="str">
        <x:v>Costing Template</x:v>
      </x:c>
      <x:c r="B22" s="3" t="str">
        <x:v>Luas Lantai</x:v>
      </x:c>
      <x:c r="C22" s="3" t="str">
        <x:v>m²</x:v>
      </x:c>
      <x:c r="D22" s="3" t="str">
        <x:v>Luas yang digunakan unit. Gunakan meter persegi secara konsisten.</x:v>
      </x:c>
    </x:row>
    <x:row r="23" ht="38" customHeight="1">
      <x:c r="A23" s="6" t="str">
        <x:v>Data Operasional</x:v>
      </x:c>
      <x:c r="B23" s="6" t="str">
        <x:v>Nama Unit</x:v>
      </x:c>
      <x:c r="C23" s="6" t="str">
        <x:v>teks</x:v>
      </x:c>
      <x:c r="D23" s="6" t="str">
        <x:v>Harus sesuai nama unit pada Costing Template.</x:v>
      </x:c>
    </x:row>
    <x:row r="24" ht="38" customHeight="1">
      <x:c r="A24" s="3" t="str">
        <x:v>Data Operasional</x:v>
      </x:c>
      <x:c r="B24" s="3" t="str">
        <x:v>Kunjungan JKN / Non-JKN</x:v>
      </x:c>
      <x:c r="C24" s="3" t="str">
        <x:v>kunjungan</x:v>
      </x:c>
      <x:c r="D24" s="3" t="str">
        <x:v>Isi volume rawat jalan menurut penjamin. Contoh: total 2000 kunjungan, porsi JKN 75%.</x:v>
      </x:c>
    </x:row>
    <x:row r="25" ht="38" customHeight="1">
      <x:c r="A25" s="6" t="str">
        <x:v>Data Operasional</x:v>
      </x:c>
      <x:c r="B25" s="6" t="str">
        <x:v>Hari Rawat JKN / Non-JKN</x:v>
      </x:c>
      <x:c r="C25" s="6" t="str">
        <x:v>hari perawatan</x:v>
      </x:c>
      <x:c r="D25" s="6" t="str">
        <x:v>Isi volume rawat inap menurut penjamin. Contoh: total 1500 hari rawat, porsi JKN 80%.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cols>
    <x:col min="1" max="1" width="18.889999389648438" hidden="0" customWidth="1"/>
    <x:col min="2" max="2" width="25.559999465942383" hidden="0" customWidth="1"/>
    <x:col min="3" max="3" width="28.889999389648438" hidden="0" customWidth="1"/>
    <x:col min="4" max="4" width="68.88999938964844" hidden="0" customWidth="1"/>
  </x:cols>
  <x:sheetData>
    <x:row r="1" ht="48" customHeight="1">
      <x:c r="A1" s="5" t="str">
        <x:v>CONTOH SINTETIS</x:v>
      </x:c>
      <x:c r="B1" s="5" t="str">
        <x:v>Untuk belajar. Tidak dibaca sebagai data RS.</x:v>
      </x:c>
      <x:c r="C1" s="5" t="str"/>
      <x:c r="D1" s="5" t="str"/>
    </x:row>
    <x:row r="2" ht="38" customHeight="1">
      <x:c r="A2" s="7" t="str">
        <x:v>Sheet</x:v>
      </x:c>
      <x:c r="B2" s="7" t="str">
        <x:v>Kolom</x:v>
      </x:c>
      <x:c r="C2" s="7" t="str">
        <x:v>Contoh isi</x:v>
      </x:c>
      <x:c r="D2" s="7" t="str">
        <x:v>Penjelasan</x:v>
      </x:c>
    </x:row>
    <x:row r="3" ht="46" customHeight="1">
      <x:c r="A3" s="6" t="str">
        <x:v>Data Dasar RS</x:v>
      </x:c>
      <x:c r="B3" s="6" t="str">
        <x:v>Nama Rumah Sakit / Tipe RS / Kepemilikan</x:v>
      </x:c>
      <x:c r="C3" s="6" t="str">
        <x:v>RS Contoh / B / Pemerintah</x:v>
      </x:c>
      <x:c r="D3" s="6" t="str">
        <x:v>Isi identitas sebenarnya. Jangan mengetik angka biaya pada baris identitas.</x:v>
      </x:c>
    </x:row>
    <x:row r="4" ht="38" customHeight="1">
      <x:c r="A4" s="3" t="str">
        <x:v>Data Dasar RS</x:v>
      </x:c>
      <x:c r="B4" s="3" t="str">
        <x:v>Tahun Data</x:v>
      </x:c>
      <x:c r="C4" s="3" t="str">
        <x:v>2025</x:v>
      </x:c>
      <x:c r="D4" s="3" t="str">
        <x:v>Tahun laporan biaya. Tahun ini harus sama dengan tahun pada Costing Template.</x:v>
      </x:c>
    </x:row>
    <x:row r="5" ht="38" customHeight="1">
      <x:c r="A5" s="6" t="str">
        <x:v>Data Dasar RS</x:v>
      </x:c>
      <x:c r="B5" s="6" t="str">
        <x:v>BOR (%)</x:v>
      </x:c>
      <x:c r="C5" s="6" t="str">
        <x:v>75</x:v>
      </x:c>
      <x:c r="D5" s="6" t="str">
        <x:v>Jika tersedia pada template 18 Komponen, isi 75 untuk BOR 75%, bukan 0,75.</x:v>
      </x:c>
    </x:row>
    <x:row r="6" ht="38" customHeight="1">
      <x:c r="A6" s="3" t="str">
        <x:v>Data Dasar RS</x:v>
      </x:c>
      <x:c r="B6" s="3" t="str">
        <x:v>ALOS / Tempat Tidur / SDM</x:v>
      </x:c>
      <x:c r="C6" s="3" t="str">
        <x:v>5 / 120 / 250</x:v>
      </x:c>
      <x:c r="D6" s="3" t="str">
        <x:v>Ringkasan operasional RS. Angka per unit diisi pada Costing Template.</x:v>
      </x:c>
    </x:row>
    <x:row r="7" ht="46" customHeight="1">
      <x:c r="A7" s="6" t="str">
        <x:v>Data Dasar RS</x:v>
      </x:c>
      <x:c r="B7" s="6" t="str">
        <x:v>Biaya dan Pendapatan</x:v>
      </x:c>
      <x:c r="C7" s="6" t="str">
        <x:v>1200000000</x:v>
      </x:c>
      <x:c r="D7" s="6" t="str">
        <x:v>Gunakan angka kontrol dari laporan keuangan. Pendapatan JKN dan Non-JKN dicatat terpisah.</x:v>
      </x:c>
    </x:row>
    <x:row r="8" ht="38" customHeight="1">
      <x:c r="A8" s="3" t="str">
        <x:v>Costing Template</x:v>
      </x:c>
      <x:c r="B8" s="3" t="str">
        <x:v>No / Nama Unit</x:v>
      </x:c>
      <x:c r="C8" s="3" t="str">
        <x:v>1 / Rawat Jalan</x:v>
      </x:c>
      <x:c r="D8" s="3" t="str">
        <x:v>Gunakan nama unit yang jelas. Nomor berada pada kolom pertama, nama pada kolom kedua.</x:v>
      </x:c>
    </x:row>
    <x:row r="9" ht="46" customHeight="1">
      <x:c r="A9" s="6" t="str">
        <x:v>Costing Template</x:v>
      </x:c>
      <x:c r="B9" s="6" t="str">
        <x:v>Dasar Alokasi</x:v>
      </x:c>
      <x:c r="C9" s="6" t="str">
        <x:v>jumlah_kunjungan</x:v>
      </x:c>
      <x:c r="D9" s="6" t="str">
        <x:v>Pilih ukuran aktivitas yang sesuai unit. Contoh rawat jalan: jumlah_kunjungan; rawat inap: hari_rawat. Jangan menjumlahkan kunjungan dan hari rawat.</x:v>
      </x:c>
    </x:row>
    <x:row r="10" ht="46" customHeight="1">
      <x:c r="A10" s="3" t="str">
        <x:v>Costing Template</x:v>
      </x:c>
      <x:c r="B10" s="3" t="str">
        <x:v>Jumlah Staf</x:v>
      </x:c>
      <x:c r="C10" s="3" t="str">
        <x:v>25</x:v>
      </x:c>
      <x:c r="D10" s="3" t="str">
        <x:v>Jumlah staf unit selama periode data. Ambil dari kepegawaian dengan definisi yang konsisten.</x:v>
      </x:c>
    </x:row>
    <x:row r="11" ht="38" customHeight="1">
      <x:c r="A11" s="6" t="str">
        <x:v>Costing Template</x:v>
      </x:c>
      <x:c r="B11" s="6" t="str">
        <x:v>Hari Rawat</x:v>
      </x:c>
      <x:c r="C11" s="6" t="str">
        <x:v>1500</x:v>
      </x:c>
      <x:c r="D11" s="6" t="str">
        <x:v>Akumulasi hari rawat seluruh pasien, bukan jumlah pasien dan bukan ALOS.</x:v>
      </x:c>
    </x:row>
    <x:row r="12" ht="38" customHeight="1">
      <x:c r="A12" s="3" t="str">
        <x:v>Costing Template</x:v>
      </x:c>
      <x:c r="B12" s="3" t="str">
        <x:v>Pasien Pulang</x:v>
      </x:c>
      <x:c r="C12" s="3" t="str">
        <x:v>300</x:v>
      </x:c>
      <x:c r="D12" s="3" t="str">
        <x:v>Jumlah kasus rawat inap yang pulang pada periode tersebut.</x:v>
      </x:c>
    </x:row>
    <x:row r="13" ht="38" customHeight="1">
      <x:c r="A13" s="6" t="str">
        <x:v>Costing Template</x:v>
      </x:c>
      <x:c r="B13" s="6" t="str">
        <x:v>Jml Kunjungan</x:v>
      </x:c>
      <x:c r="C13" s="6" t="str">
        <x:v>2000</x:v>
      </x:c>
      <x:c r="D13" s="6" t="str">
        <x:v>Jumlah kontak layanan unit. Definisi kunjungan harus sama dengan sumber statistik RS.</x:v>
      </x:c>
    </x:row>
    <x:row r="14" ht="38" customHeight="1">
      <x:c r="A14" s="3" t="str">
        <x:v>Costing Template</x:v>
      </x:c>
      <x:c r="B14" s="3" t="str">
        <x:v>ALOS</x:v>
      </x:c>
      <x:c r="C14" s="3" t="str">
        <x:v>5</x:v>
      </x:c>
      <x:c r="D14" s="3" t="str">
        <x:v>Rata-rata lama rawat. Contoh 1500 hari rawat / 300 pasien pulang = 5 hari.</x:v>
      </x:c>
    </x:row>
    <x:row r="15" ht="38" customHeight="1">
      <x:c r="A15" s="6" t="str">
        <x:v>Costing Template</x:v>
      </x:c>
      <x:c r="B15" s="6" t="str">
        <x:v>Jml Tempat Tidur</x:v>
      </x:c>
      <x:c r="C15" s="6" t="str">
        <x:v>30</x:v>
      </x:c>
      <x:c r="D15" s="6" t="str">
        <x:v>Tempat tidur operasional unit, bukan jumlah tempat tidur yang kosong.</x:v>
      </x:c>
    </x:row>
    <x:row r="16" ht="46" customHeight="1">
      <x:c r="A16" s="3" t="str">
        <x:v>Costing Template</x:v>
      </x:c>
      <x:c r="B16" s="3" t="str">
        <x:v>Biaya Gaji</x:v>
      </x:c>
      <x:c r="C16" s="3" t="str">
        <x:v>120000000</x:v>
      </x:c>
      <x:c r="D16" s="3" t="str">
        <x:v>Total biaya pegawai yang menjadi beban unit. Hindari pencatatan ulang remunerasi yang sudah masuk gaji.</x:v>
      </x:c>
    </x:row>
    <x:row r="17" ht="38" customHeight="1">
      <x:c r="A17" s="6" t="str">
        <x:v>Costing Template</x:v>
      </x:c>
      <x:c r="B17" s="6" t="str">
        <x:v>Biaya Jasa Medis</x:v>
      </x:c>
      <x:c r="C17" s="6" t="str">
        <x:v>24000000</x:v>
      </x:c>
      <x:c r="D17" s="6" t="str">
        <x:v>Beban jasa medis unit sesuai pemisahan akun RS.</x:v>
      </x:c>
    </x:row>
    <x:row r="18" ht="38" customHeight="1">
      <x:c r="A18" s="3" t="str">
        <x:v>Costing Template</x:v>
      </x:c>
      <x:c r="B18" s="3" t="str">
        <x:v>Biaya Jasa Medis Lain</x:v>
      </x:c>
      <x:c r="C18" s="3" t="str">
        <x:v>6000000</x:v>
      </x:c>
      <x:c r="D18" s="3" t="str">
        <x:v>Jasa lain yang belum masuk Gaji atau Jasa Medis. Periksa definisi akun RS.</x:v>
      </x:c>
    </x:row>
    <x:row r="19" ht="38" customHeight="1">
      <x:c r="A19" s="6" t="str">
        <x:v>Costing Template</x:v>
      </x:c>
      <x:c r="B19" s="6" t="str">
        <x:v>Biaya Operasional</x:v>
      </x:c>
      <x:c r="C19" s="6" t="str">
        <x:v>30000000</x:v>
      </x:c>
      <x:c r="D19" s="6" t="str">
        <x:v>Biaya langsung operasional unit. Pisahkan penyusutan yang akan dihitung melalui aset.</x:v>
      </x:c>
    </x:row>
    <x:row r="20" ht="46" customHeight="1">
      <x:c r="A20" s="3" t="str">
        <x:v>Costing Template</x:v>
      </x:c>
      <x:c r="B20" s="3" t="str">
        <x:v>Nilai Alat</x:v>
      </x:c>
      <x:c r="C20" s="3" t="str">
        <x:v>100000000</x:v>
      </x:c>
      <x:c r="D20" s="3" t="str">
        <x:v>Nilai perolehan alat, bukan penyusutan 20000000 per tahun. Asumsi umur pada alur 18 Komponen adalah 5 tahun.</x:v>
      </x:c>
    </x:row>
    <x:row r="21" ht="38" customHeight="1">
      <x:c r="A21" s="6" t="str">
        <x:v>Costing Template</x:v>
      </x:c>
      <x:c r="B21" s="6" t="str">
        <x:v>Investasi Gedung</x:v>
      </x:c>
      <x:c r="C21" s="6" t="str">
        <x:v>400000000</x:v>
      </x:c>
      <x:c r="D21" s="6" t="str">
        <x:v>Nilai gedung yang menjadi dasar penyusutan. Asumsi umur gedung 40 tahun.</x:v>
      </x:c>
    </x:row>
    <x:row r="22" ht="46" customHeight="1">
      <x:c r="A22" s="3" t="str">
        <x:v>Costing Template</x:v>
      </x:c>
      <x:c r="B22" s="3" t="str">
        <x:v>Dep. Peralatan / Dep. Gedung / Total</x:v>
      </x:c>
      <x:c r="C22" s="3" t="str">
        <x:v>20000000 / 10000000</x:v>
      </x:c>
      <x:c r="D22" s="3" t="str">
        <x:v>Pada template 18 Komponen kolom ini otomatis. Jangan mengganti formulanya. Perhitungan aplikasi tetap menjadi hasil utama.</x:v>
      </x:c>
    </x:row>
    <x:row r="23" ht="38" customHeight="1">
      <x:c r="A23" s="6" t="str">
        <x:v>Costing Template</x:v>
      </x:c>
      <x:c r="B23" s="6" t="str">
        <x:v>Luas Lantai</x:v>
      </x:c>
      <x:c r="C23" s="6" t="str">
        <x:v>250</x:v>
      </x:c>
      <x:c r="D23" s="6" t="str">
        <x:v>Luas yang digunakan unit. Gunakan meter persegi secara konsisten.</x:v>
      </x:c>
    </x:row>
    <x:row r="24" ht="38" customHeight="1">
      <x:c r="A24" s="3" t="str">
        <x:v>Data Operasional</x:v>
      </x:c>
      <x:c r="B24" s="3" t="str">
        <x:v>Nama Unit</x:v>
      </x:c>
      <x:c r="C24" s="3" t="str">
        <x:v>Rawat Jalan</x:v>
      </x:c>
      <x:c r="D24" s="3" t="str">
        <x:v>Harus sesuai nama unit pada Costing Template.</x:v>
      </x:c>
    </x:row>
    <x:row r="25" ht="38" customHeight="1">
      <x:c r="A25" s="6" t="str">
        <x:v>Data Operasional</x:v>
      </x:c>
      <x:c r="B25" s="6" t="str">
        <x:v>Kunjungan JKN / Non-JKN</x:v>
      </x:c>
      <x:c r="C25" s="6" t="str">
        <x:v>1500 / 500</x:v>
      </x:c>
      <x:c r="D25" s="6" t="str">
        <x:v>Isi volume rawat jalan menurut penjamin. Contoh: total 2000 kunjungan, porsi JKN 75%.</x:v>
      </x:c>
    </x:row>
    <x:row r="26" ht="38" customHeight="1">
      <x:c r="A26" s="3" t="str">
        <x:v>Data Operasional</x:v>
      </x:c>
      <x:c r="B26" s="3" t="str">
        <x:v>Hari Rawat JKN / Non-JKN</x:v>
      </x:c>
      <x:c r="C26" s="3" t="str">
        <x:v>1200 / 300</x:v>
      </x:c>
      <x:c r="D26" s="3" t="str">
        <x:v>Isi volume rawat inap menurut penjamin. Contoh: total 1500 hari rawat, porsi JKN 80%.</x:v>
      </x:c>
    </x:row>
  </x:sheetData>
  <x:pageMargins left="0.7" right="0.7" top="0.75" bottom="0.75" header="0.3" footer="0.3"/>
</x:worksheet>
</file>